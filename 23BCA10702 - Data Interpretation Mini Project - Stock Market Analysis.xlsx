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2"/>
  </bookViews>
  <sheets>
    <sheet name="Stock Market Data" sheetId="1" r:id="rId1"/>
    <sheet name="Summary" sheetId="2" r:id="rId2"/>
    <sheet name="Charts &amp; Analysi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<sst xmlns="http://schemas.openxmlformats.org/spreadsheetml/2006/main" count="460" uniqueCount="100">
  <si>
    <t>STOCK MARKET PERFORMANCE TRACKER — Minor Project</t>
  </si>
  <si>
    <t>S.No</t>
  </si>
  <si>
    <t>Company Name</t>
  </si>
  <si>
    <t>Ticker</t>
  </si>
  <si>
    <t>Sector</t>
  </si>
  <si>
    <t>Date</t>
  </si>
  <si>
    <t>Open (₹)</t>
  </si>
  <si>
    <t>High (₹)</t>
  </si>
  <si>
    <t>Low (₹)</t>
  </si>
  <si>
    <t>Close (₹)</t>
  </si>
  <si>
    <t>Volume</t>
  </si>
  <si>
    <t>Market Cap (Cr)</t>
  </si>
  <si>
    <t>P/E Ratio</t>
  </si>
  <si>
    <t>Change (₹)</t>
  </si>
  <si>
    <t>Change (%)</t>
  </si>
  <si>
    <t>Reliance Industries</t>
  </si>
  <si>
    <t>RELIANCE</t>
  </si>
  <si>
    <t>Energy</t>
  </si>
  <si>
    <t>Tata Consultancy Services</t>
  </si>
  <si>
    <t>TCS</t>
  </si>
  <si>
    <t>IT</t>
  </si>
  <si>
    <t>HDFC Bank</t>
  </si>
  <si>
    <t>HDFCBANK</t>
  </si>
  <si>
    <t>Banking</t>
  </si>
  <si>
    <t>Infosys</t>
  </si>
  <si>
    <t>INFY</t>
  </si>
  <si>
    <t>ICICI Bank</t>
  </si>
  <si>
    <t>ICICIBANK</t>
  </si>
  <si>
    <t>Hindustan Unilever</t>
  </si>
  <si>
    <t>HINDUNILVR</t>
  </si>
  <si>
    <t>FMCG</t>
  </si>
  <si>
    <t>ITC Ltd</t>
  </si>
  <si>
    <t>ITC</t>
  </si>
  <si>
    <t>Larsen &amp; Toubro</t>
  </si>
  <si>
    <t>LT</t>
  </si>
  <si>
    <t>Infrastructure</t>
  </si>
  <si>
    <t>State Bank of India</t>
  </si>
  <si>
    <t>SBIN</t>
  </si>
  <si>
    <t>Bajaj Finance</t>
  </si>
  <si>
    <t>BAJFINANCE</t>
  </si>
  <si>
    <t>Finance</t>
  </si>
  <si>
    <t>Wipro</t>
  </si>
  <si>
    <t>WIPRO</t>
  </si>
  <si>
    <t>Asian Paints</t>
  </si>
  <si>
    <t>ASIANPAINT</t>
  </si>
  <si>
    <t>Materials</t>
  </si>
  <si>
    <t>Maruti Suzuki</t>
  </si>
  <si>
    <t>MARUTI</t>
  </si>
  <si>
    <t>Auto</t>
  </si>
  <si>
    <t>Sun Pharma</t>
  </si>
  <si>
    <t>SUNPHARMA</t>
  </si>
  <si>
    <t>Pharma</t>
  </si>
  <si>
    <t>Titan Company</t>
  </si>
  <si>
    <t>TITAN</t>
  </si>
  <si>
    <t>Consumer</t>
  </si>
  <si>
    <t>Kotak Mahindra Bank</t>
  </si>
  <si>
    <t>KOTAKBANK</t>
  </si>
  <si>
    <t>Adani Ports</t>
  </si>
  <si>
    <t>ADANIPORTS</t>
  </si>
  <si>
    <t>Power Grid Corp</t>
  </si>
  <si>
    <t>POWERGRID</t>
  </si>
  <si>
    <t>Utilities</t>
  </si>
  <si>
    <t>NTPC Ltd</t>
  </si>
  <si>
    <t>NTPC</t>
  </si>
  <si>
    <t>Bharti Airtel</t>
  </si>
  <si>
    <t>BHARTIARTL</t>
  </si>
  <si>
    <t>Telecom</t>
  </si>
  <si>
    <t>SUMMARY STATISTICS</t>
  </si>
  <si>
    <t>Metric</t>
  </si>
  <si>
    <t>Formula</t>
  </si>
  <si>
    <t>Value</t>
  </si>
  <si>
    <t>Total Entries</t>
  </si>
  <si>
    <t>COUNT</t>
  </si>
  <si>
    <t>Avg Close Price (₹)</t>
  </si>
  <si>
    <t>AVERAGE</t>
  </si>
  <si>
    <t>Max Close Price (₹)</t>
  </si>
  <si>
    <t>MAX</t>
  </si>
  <si>
    <t>Min Close Price (₹)</t>
  </si>
  <si>
    <t>MIN</t>
  </si>
  <si>
    <t>Avg Volume</t>
  </si>
  <si>
    <t>Total Volume</t>
  </si>
  <si>
    <t>SUM</t>
  </si>
  <si>
    <t>Avg P/E Ratio</t>
  </si>
  <si>
    <t>Positive Days</t>
  </si>
  <si>
    <t>COUNTIF</t>
  </si>
  <si>
    <t>Negative Days</t>
  </si>
  <si>
    <t>Avg Daily Change (%)</t>
  </si>
  <si>
    <t>📊  STOCK MARKET — DATA ANALYSIS CHARTS</t>
  </si>
  <si>
    <t>Total Volume by Company</t>
  </si>
  <si>
    <t>Total Trading Volume by Company</t>
  </si>
  <si>
    <t>Avg P/E Ratio by Sector</t>
  </si>
  <si>
    <t>Price Range by Company (High / Low / Avg Close)</t>
  </si>
  <si>
    <t/>
  </si>
  <si>
    <t>Avg P/E</t>
  </si>
  <si>
    <t>Avg High</t>
  </si>
  <si>
    <t>Avg Low</t>
  </si>
  <si>
    <t>Avg Close</t>
  </si>
  <si>
    <t>Positive vs Negative Days per Company</t>
  </si>
  <si>
    <t>Count</t>
  </si>
  <si>
    <t>Entry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</si>
</sst>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\-mmm\-yyyy"/>
    <numFmt numFmtId="179" formatCode="&quot;₹&quot;#,##0.00"/>
  </numFmts>
  <fonts count="32">
    <font>
      <sz val="11"/>
      <color theme="1"/>
      <name val="Calibri"/>
      <charset val="134"/>
      <scheme val="minor"/>
    </font>
    <font>
      <b/>
      <sz val="15"/>
      <color rgb="FFFFFFFF"/>
      <name val="Arial"/>
      <charset val="134"/>
    </font>
    <font>
      <b/>
      <sz val="12"/>
      <color rgb="FFFFFFFF"/>
      <name val="Arial"/>
      <charset val="134"/>
    </font>
    <font>
      <b/>
      <sz val="10"/>
      <color rgb="FFFFFFFF"/>
      <name val="Arial"/>
      <charset val="134"/>
    </font>
    <font>
      <sz val="9"/>
      <name val="Arial"/>
      <charset val="134"/>
    </font>
    <font>
      <b/>
      <sz val="11"/>
      <name val="Calibri"/>
      <charset val="134"/>
      <scheme val="minor"/>
    </font>
    <font>
      <b/>
      <sz val="13"/>
      <color rgb="FFFFFFFF"/>
      <name val="Arial"/>
      <charset val="134"/>
    </font>
    <font>
      <b/>
      <sz val="11"/>
      <color rgb="FFFFFFFF"/>
      <name val="Arial"/>
      <charset val="134"/>
    </font>
    <font>
      <sz val="10"/>
      <name val="Arial"/>
      <charset val="134"/>
    </font>
    <font>
      <b/>
      <sz val="14"/>
      <color rgb="FFFFFFFF"/>
      <name val="Arial"/>
      <charset val="134"/>
    </font>
    <font>
      <b/>
      <sz val="9"/>
      <color rgb="FFB71C1C"/>
      <name val="Arial"/>
      <charset val="134"/>
    </font>
    <font>
      <b/>
      <sz val="9"/>
      <color rgb="FF1B5E2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0A1628"/>
        <bgColor indexed="64"/>
      </patternFill>
    </fill>
    <fill>
      <patternFill patternType="solid">
        <fgColor rgb="FF0D47A1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EEF2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DDEDE"/>
        <bgColor indexed="64"/>
      </patternFill>
    </fill>
    <fill>
      <patternFill patternType="solid">
        <fgColor rgb="FFD6F4D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9" borderId="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0" borderId="5" applyNumberFormat="0" applyAlignment="0" applyProtection="0">
      <alignment vertical="center"/>
    </xf>
    <xf numFmtId="0" fontId="22" fillId="11" borderId="6" applyNumberFormat="0" applyAlignment="0" applyProtection="0">
      <alignment vertical="center"/>
    </xf>
    <xf numFmtId="0" fontId="23" fillId="11" borderId="5" applyNumberFormat="0" applyAlignment="0" applyProtection="0">
      <alignment vertical="center"/>
    </xf>
    <xf numFmtId="0" fontId="24" fillId="12" borderId="7" applyNumberFormat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</cellStyleXfs>
  <cellXfs count="2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5" fillId="0" borderId="0" xfId="0" applyFont="1"/>
    <xf numFmtId="0" fontId="6" fillId="3" borderId="0" xfId="0" applyFont="1" applyFill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9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178" fontId="4" fillId="5" borderId="1" xfId="0" applyNumberFormat="1" applyFont="1" applyFill="1" applyBorder="1" applyAlignment="1">
      <alignment horizontal="center" vertical="center"/>
    </xf>
    <xf numFmtId="179" fontId="4" fillId="5" borderId="1" xfId="0" applyNumberFormat="1" applyFont="1" applyFill="1" applyBorder="1" applyAlignment="1">
      <alignment horizontal="center" vertical="center"/>
    </xf>
    <xf numFmtId="3" fontId="4" fillId="5" borderId="1" xfId="0" applyNumberFormat="1" applyFont="1" applyFill="1" applyBorder="1" applyAlignment="1">
      <alignment horizontal="center" vertical="center"/>
    </xf>
    <xf numFmtId="179" fontId="10" fillId="7" borderId="1" xfId="0" applyNumberFormat="1" applyFont="1" applyFill="1" applyBorder="1" applyAlignment="1">
      <alignment horizontal="center" vertical="center"/>
    </xf>
    <xf numFmtId="10" fontId="10" fillId="7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178" fontId="4" fillId="6" borderId="1" xfId="0" applyNumberFormat="1" applyFont="1" applyFill="1" applyBorder="1" applyAlignment="1">
      <alignment horizontal="center" vertical="center"/>
    </xf>
    <xf numFmtId="179" fontId="4" fillId="6" borderId="1" xfId="0" applyNumberFormat="1" applyFont="1" applyFill="1" applyBorder="1" applyAlignment="1">
      <alignment horizontal="center" vertical="center"/>
    </xf>
    <xf numFmtId="3" fontId="4" fillId="6" borderId="1" xfId="0" applyNumberFormat="1" applyFont="1" applyFill="1" applyBorder="1" applyAlignment="1">
      <alignment horizontal="center" vertical="center"/>
    </xf>
    <xf numFmtId="179" fontId="11" fillId="8" borderId="1" xfId="0" applyNumberFormat="1" applyFont="1" applyFill="1" applyBorder="1" applyAlignment="1">
      <alignment horizontal="center" vertical="center"/>
    </xf>
    <xf numFmtId="10" fontId="11" fillId="8" borderId="1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Chart 1: Avg Close Price by Sector (₹)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'Charts &amp; Analysis'!$B$4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1565C0"/>
            </a:solidFill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'Charts &amp; Analysis'!$A$5:$A$16</c:f>
              <c:strCache>
                <c:ptCount val="12"/>
                <c:pt idx="0">
                  <c:v>Auto</c:v>
                </c:pt>
                <c:pt idx="1">
                  <c:v>Banking</c:v>
                </c:pt>
                <c:pt idx="2">
                  <c:v>Consumer</c:v>
                </c:pt>
                <c:pt idx="3">
                  <c:v>Energy</c:v>
                </c:pt>
                <c:pt idx="4">
                  <c:v>FMCG</c:v>
                </c:pt>
                <c:pt idx="5">
                  <c:v>Finance</c:v>
                </c:pt>
                <c:pt idx="6">
                  <c:v>IT</c:v>
                </c:pt>
                <c:pt idx="7">
                  <c:v>Infrastructure</c:v>
                </c:pt>
                <c:pt idx="8">
                  <c:v>Materials</c:v>
                </c:pt>
                <c:pt idx="9">
                  <c:v>Pharma</c:v>
                </c:pt>
                <c:pt idx="10">
                  <c:v>Telecom</c:v>
                </c:pt>
                <c:pt idx="11">
                  <c:v>Utilities</c:v>
                </c:pt>
              </c:strCache>
            </c:strRef>
          </c:cat>
          <c:val>
            <c:numRef>
              <c:f>'Charts &amp; Analysis'!$B$5:$B$16</c:f>
              <c:numCache>
                <c:formatCode>General</c:formatCode>
                <c:ptCount val="12"/>
                <c:pt idx="0">
                  <c:v>10992.37</c:v>
                </c:pt>
                <c:pt idx="1">
                  <c:v>1300.72</c:v>
                </c:pt>
                <c:pt idx="2">
                  <c:v>3457.29</c:v>
                </c:pt>
                <c:pt idx="3">
                  <c:v>2781.82</c:v>
                </c:pt>
                <c:pt idx="4">
                  <c:v>1424.5</c:v>
                </c:pt>
                <c:pt idx="5">
                  <c:v>6804.66</c:v>
                </c:pt>
                <c:pt idx="6">
                  <c:v>1953.04</c:v>
                </c:pt>
                <c:pt idx="7">
                  <c:v>2314.03</c:v>
                </c:pt>
                <c:pt idx="8">
                  <c:v>2806.74</c:v>
                </c:pt>
                <c:pt idx="9">
                  <c:v>1601.54</c:v>
                </c:pt>
                <c:pt idx="10">
                  <c:v>1645.27</c:v>
                </c:pt>
                <c:pt idx="11">
                  <c:v>341.99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Sector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Avg Close Price (₹)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02f252f-93ed-4d25-a9c6-94db43c5a236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Chart 2: Total Trading Volume by Company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'Charts &amp; Analysis'!$E$4</c:f>
              <c:strCache>
                <c:ptCount val="1"/>
                <c:pt idx="0">
                  <c:v>Total Volume</c:v>
                </c:pt>
              </c:strCache>
            </c:strRef>
          </c:tx>
          <c:spPr>
            <a:solidFill>
              <a:srgbClr val="00796B"/>
            </a:solidFill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'Charts &amp; Analysis'!$D$5:$D$24</c:f>
              <c:strCache>
                <c:ptCount val="20"/>
                <c:pt idx="0">
                  <c:v>ADANIPORTS</c:v>
                </c:pt>
                <c:pt idx="1">
                  <c:v>ASIANPAINT</c:v>
                </c:pt>
                <c:pt idx="2">
                  <c:v>BAJFINANCE</c:v>
                </c:pt>
                <c:pt idx="3">
                  <c:v>BHARTIARTL</c:v>
                </c:pt>
                <c:pt idx="4">
                  <c:v>HDFCBANK</c:v>
                </c:pt>
                <c:pt idx="5">
                  <c:v>HINDUNILVR</c:v>
                </c:pt>
                <c:pt idx="6">
                  <c:v>ICICIBANK</c:v>
                </c:pt>
                <c:pt idx="7">
                  <c:v>INFY</c:v>
                </c:pt>
                <c:pt idx="8">
                  <c:v>ITC</c:v>
                </c:pt>
                <c:pt idx="9">
                  <c:v>KOTAKBANK</c:v>
                </c:pt>
                <c:pt idx="10">
                  <c:v>LT</c:v>
                </c:pt>
                <c:pt idx="11">
                  <c:v>MARUTI</c:v>
                </c:pt>
                <c:pt idx="12">
                  <c:v>NTPC</c:v>
                </c:pt>
                <c:pt idx="13">
                  <c:v>POWERGRID</c:v>
                </c:pt>
                <c:pt idx="14">
                  <c:v>RELIANCE</c:v>
                </c:pt>
                <c:pt idx="15">
                  <c:v>SBIN</c:v>
                </c:pt>
                <c:pt idx="16">
                  <c:v>SUNPHARMA</c:v>
                </c:pt>
                <c:pt idx="17">
                  <c:v>TCS</c:v>
                </c:pt>
                <c:pt idx="18">
                  <c:v>TITAN</c:v>
                </c:pt>
                <c:pt idx="19">
                  <c:v>WIPRO</c:v>
                </c:pt>
              </c:strCache>
            </c:strRef>
          </c:cat>
          <c:val>
            <c:numRef>
              <c:f>'Charts &amp; Analysis'!$E$5:$E$24</c:f>
              <c:numCache>
                <c:formatCode>General</c:formatCode>
                <c:ptCount val="20"/>
                <c:pt idx="0">
                  <c:v>34932347</c:v>
                </c:pt>
                <c:pt idx="1">
                  <c:v>37174907</c:v>
                </c:pt>
                <c:pt idx="2">
                  <c:v>32033644</c:v>
                </c:pt>
                <c:pt idx="3">
                  <c:v>20207931</c:v>
                </c:pt>
                <c:pt idx="4">
                  <c:v>38430866</c:v>
                </c:pt>
                <c:pt idx="5">
                  <c:v>46369614</c:v>
                </c:pt>
                <c:pt idx="6">
                  <c:v>27874713</c:v>
                </c:pt>
                <c:pt idx="7">
                  <c:v>46990478</c:v>
                </c:pt>
                <c:pt idx="8">
                  <c:v>51496154</c:v>
                </c:pt>
                <c:pt idx="9">
                  <c:v>25444004</c:v>
                </c:pt>
                <c:pt idx="10">
                  <c:v>46110921</c:v>
                </c:pt>
                <c:pt idx="11">
                  <c:v>41497911</c:v>
                </c:pt>
                <c:pt idx="12">
                  <c:v>30581862</c:v>
                </c:pt>
                <c:pt idx="13">
                  <c:v>58010429</c:v>
                </c:pt>
                <c:pt idx="14">
                  <c:v>40794474</c:v>
                </c:pt>
                <c:pt idx="15">
                  <c:v>57296979</c:v>
                </c:pt>
                <c:pt idx="16">
                  <c:v>41954653</c:v>
                </c:pt>
                <c:pt idx="17">
                  <c:v>48761349</c:v>
                </c:pt>
                <c:pt idx="18">
                  <c:v>46927880</c:v>
                </c:pt>
                <c:pt idx="19">
                  <c:v>30674623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Ticker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Total Volume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9b8d6a8-021d-4283-90b1-b9cbd315e6d4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Chart 3: Entries by Sector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'Charts &amp; Analysis'!$B$43</c:f>
              <c:strCache>
                <c:ptCount val="1"/>
                <c:pt idx="0">
                  <c:v>Count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explosion val="0"/>
          <c:dPt>
            <c:idx val="0"/>
            <c:bubble3D val="0"/>
            <c:spPr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dPt>
          <c:dPt>
            <c:idx val="1"/>
            <c:bubble3D val="0"/>
            <c:spPr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dPt>
          <c:dPt>
            <c:idx val="2"/>
            <c:bubble3D val="0"/>
            <c:spPr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dPt>
          <c:dPt>
            <c:idx val="3"/>
            <c:bubble3D val="0"/>
            <c:spPr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dPt>
          <c:dPt>
            <c:idx val="4"/>
            <c:bubble3D val="0"/>
            <c:spPr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dPt>
          <c:dPt>
            <c:idx val="5"/>
            <c:bubble3D val="0"/>
            <c:spPr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dPt>
          <c:dPt>
            <c:idx val="6"/>
            <c:bubble3D val="0"/>
            <c:spPr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dPt>
          <c:dPt>
            <c:idx val="7"/>
            <c:bubble3D val="0"/>
            <c:spPr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dPt>
          <c:dPt>
            <c:idx val="8"/>
            <c:bubble3D val="0"/>
            <c:spPr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dPt>
          <c:dPt>
            <c:idx val="9"/>
            <c:bubble3D val="0"/>
            <c:spPr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dPt>
          <c:dPt>
            <c:idx val="10"/>
            <c:bubble3D val="0"/>
            <c:spPr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dPt>
          <c:dPt>
            <c:idx val="11"/>
            <c:bubble3D val="0"/>
            <c:spPr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dPt>
          <c:dLbls>
            <c:delete val="1"/>
          </c:dLbls>
          <c:cat>
            <c:strRef>
              <c:f>'Charts &amp; Analysis'!$A$44:$A$55</c:f>
              <c:strCache>
                <c:ptCount val="12"/>
                <c:pt idx="0">
                  <c:v>Auto</c:v>
                </c:pt>
                <c:pt idx="1">
                  <c:v>Banking</c:v>
                </c:pt>
                <c:pt idx="2">
                  <c:v>Consumer</c:v>
                </c:pt>
                <c:pt idx="3">
                  <c:v>Energy</c:v>
                </c:pt>
                <c:pt idx="4">
                  <c:v>FMCG</c:v>
                </c:pt>
                <c:pt idx="5">
                  <c:v>Finance</c:v>
                </c:pt>
                <c:pt idx="6">
                  <c:v>IT</c:v>
                </c:pt>
                <c:pt idx="7">
                  <c:v>Infrastructure</c:v>
                </c:pt>
                <c:pt idx="8">
                  <c:v>Materials</c:v>
                </c:pt>
                <c:pt idx="9">
                  <c:v>Pharma</c:v>
                </c:pt>
                <c:pt idx="10">
                  <c:v>Telecom</c:v>
                </c:pt>
                <c:pt idx="11">
                  <c:v>Utilities</c:v>
                </c:pt>
              </c:strCache>
            </c:strRef>
          </c:cat>
          <c:val>
            <c:numRef>
              <c:f>'Charts &amp; Analysis'!$B$44:$B$55</c:f>
              <c:numCache>
                <c:formatCode>General</c:formatCode>
                <c:ptCount val="12"/>
                <c:pt idx="0">
                  <c:v>5</c:v>
                </c:pt>
                <c:pt idx="1">
                  <c:v>20</c:v>
                </c:pt>
                <c:pt idx="2">
                  <c:v>5</c:v>
                </c:pt>
                <c:pt idx="3">
                  <c:v>5</c:v>
                </c:pt>
                <c:pt idx="4">
                  <c:v>10</c:v>
                </c:pt>
                <c:pt idx="5">
                  <c:v>5</c:v>
                </c:pt>
                <c:pt idx="6">
                  <c:v>15</c:v>
                </c:pt>
                <c:pt idx="7">
                  <c:v>10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10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51e78e5-e4d7-46ba-9c19-d6ad5a8af77f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Chart 4: Close Price Trend (First 30 Entries)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'Charts &amp; Analysis'!$B$58</c:f>
              <c:strCache>
                <c:ptCount val="1"/>
                <c:pt idx="0">
                  <c:v>Close (₹)</c:v>
                </c:pt>
              </c:strCache>
            </c:strRef>
          </c:tx>
          <c:spPr>
            <a:ln w="18000" cap="rnd" cmpd="sng" algn="ctr">
              <a:solidFill>
                <a:srgbClr val="E53935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'Charts &amp; Analysis'!$A$59:$A$88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'Charts &amp; Analysis'!$B$59:$B$88</c:f>
              <c:numCache>
                <c:formatCode>General</c:formatCode>
                <c:ptCount val="30"/>
                <c:pt idx="0">
                  <c:v>2708.18</c:v>
                </c:pt>
                <c:pt idx="1">
                  <c:v>3964.31</c:v>
                </c:pt>
                <c:pt idx="2">
                  <c:v>1661.6</c:v>
                </c:pt>
                <c:pt idx="3">
                  <c:v>1458.37</c:v>
                </c:pt>
                <c:pt idx="4">
                  <c:v>1077.19</c:v>
                </c:pt>
                <c:pt idx="5">
                  <c:v>2360.61</c:v>
                </c:pt>
                <c:pt idx="6">
                  <c:v>436.32</c:v>
                </c:pt>
                <c:pt idx="7">
                  <c:v>3385.78</c:v>
                </c:pt>
                <c:pt idx="8">
                  <c:v>762.57</c:v>
                </c:pt>
                <c:pt idx="9">
                  <c:v>6864.59</c:v>
                </c:pt>
                <c:pt idx="10">
                  <c:v>490.85</c:v>
                </c:pt>
                <c:pt idx="11">
                  <c:v>2694.6</c:v>
                </c:pt>
                <c:pt idx="12">
                  <c:v>11154.47</c:v>
                </c:pt>
                <c:pt idx="13">
                  <c:v>1544.87</c:v>
                </c:pt>
                <c:pt idx="14">
                  <c:v>3400.13</c:v>
                </c:pt>
                <c:pt idx="15">
                  <c:v>1763.59</c:v>
                </c:pt>
                <c:pt idx="16">
                  <c:v>1280.28</c:v>
                </c:pt>
                <c:pt idx="17">
                  <c:v>313.34</c:v>
                </c:pt>
                <c:pt idx="18">
                  <c:v>357.92</c:v>
                </c:pt>
                <c:pt idx="19">
                  <c:v>1632.89</c:v>
                </c:pt>
                <c:pt idx="20">
                  <c:v>2850.11</c:v>
                </c:pt>
                <c:pt idx="21">
                  <c:v>3873.62</c:v>
                </c:pt>
                <c:pt idx="22">
                  <c:v>1649.12</c:v>
                </c:pt>
                <c:pt idx="23">
                  <c:v>1454.47</c:v>
                </c:pt>
                <c:pt idx="24">
                  <c:v>1072.83</c:v>
                </c:pt>
                <c:pt idx="25">
                  <c:v>2417.36</c:v>
                </c:pt>
                <c:pt idx="26">
                  <c:v>442.11</c:v>
                </c:pt>
                <c:pt idx="27">
                  <c:v>3389.13</c:v>
                </c:pt>
                <c:pt idx="28">
                  <c:v>766.22</c:v>
                </c:pt>
                <c:pt idx="29">
                  <c:v>6893.62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Entry #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Close Price (₹)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54c7f4a-ad50-44b2-a41c-903a4ff87b06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Chart 5: Avg P/E Ratio by Sector</a:t>
            </a:r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'Charts &amp; Analysis'!$H$4</c:f>
              <c:strCache>
                <c:ptCount val="1"/>
                <c:pt idx="0">
                  <c:v>Avg P/E</c:v>
                </c:pt>
              </c:strCache>
            </c:strRef>
          </c:tx>
          <c:spPr>
            <a:solidFill>
              <a:srgbClr val="7B1FA2"/>
            </a:solidFill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'Charts &amp; Analysis'!$G$5:$G$16</c:f>
              <c:strCache>
                <c:ptCount val="12"/>
                <c:pt idx="0">
                  <c:v>Auto</c:v>
                </c:pt>
                <c:pt idx="1">
                  <c:v>Banking</c:v>
                </c:pt>
                <c:pt idx="2">
                  <c:v>Consumer</c:v>
                </c:pt>
                <c:pt idx="3">
                  <c:v>Energy</c:v>
                </c:pt>
                <c:pt idx="4">
                  <c:v>FMCG</c:v>
                </c:pt>
                <c:pt idx="5">
                  <c:v>Finance</c:v>
                </c:pt>
                <c:pt idx="6">
                  <c:v>IT</c:v>
                </c:pt>
                <c:pt idx="7">
                  <c:v>Infrastructure</c:v>
                </c:pt>
                <c:pt idx="8">
                  <c:v>Materials</c:v>
                </c:pt>
                <c:pt idx="9">
                  <c:v>Pharma</c:v>
                </c:pt>
                <c:pt idx="10">
                  <c:v>Telecom</c:v>
                </c:pt>
                <c:pt idx="11">
                  <c:v>Utilities</c:v>
                </c:pt>
              </c:strCache>
            </c:strRef>
          </c:cat>
          <c:val>
            <c:numRef>
              <c:f>'Charts &amp; Analysis'!$H$5:$H$16</c:f>
              <c:numCache>
                <c:formatCode>General</c:formatCode>
                <c:ptCount val="12"/>
                <c:pt idx="0">
                  <c:v>36.3</c:v>
                </c:pt>
                <c:pt idx="1">
                  <c:v>37.9</c:v>
                </c:pt>
                <c:pt idx="2">
                  <c:v>41.9</c:v>
                </c:pt>
                <c:pt idx="3">
                  <c:v>37.7</c:v>
                </c:pt>
                <c:pt idx="4">
                  <c:v>42.5</c:v>
                </c:pt>
                <c:pt idx="5">
                  <c:v>29.6</c:v>
                </c:pt>
                <c:pt idx="6">
                  <c:v>38.3</c:v>
                </c:pt>
                <c:pt idx="7">
                  <c:v>39.5</c:v>
                </c:pt>
                <c:pt idx="8">
                  <c:v>34.8</c:v>
                </c:pt>
                <c:pt idx="9">
                  <c:v>45.1</c:v>
                </c:pt>
                <c:pt idx="10">
                  <c:v>34.2</c:v>
                </c:pt>
                <c:pt idx="11">
                  <c:v>37.1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Avg P/E Ratio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majorGridlines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Sector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d319f53-2e7d-470a-938d-e56de05165eb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Chart 6: Price Range per Company (High / Low / Avg Close)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'Charts &amp; Analysis'!$K$4</c:f>
              <c:strCache>
                <c:ptCount val="1"/>
                <c:pt idx="0">
                  <c:v>Avg High</c:v>
                </c:pt>
              </c:strCache>
            </c:strRef>
          </c:tx>
          <c:spPr>
            <a:solidFill>
              <a:srgbClr val="1565C0"/>
            </a:solidFill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'Charts &amp; Analysis'!$J$5:$J$24</c:f>
              <c:strCache>
                <c:ptCount val="20"/>
                <c:pt idx="0">
                  <c:v>ADANIPORTS</c:v>
                </c:pt>
                <c:pt idx="1">
                  <c:v>ASIANPAINT</c:v>
                </c:pt>
                <c:pt idx="2">
                  <c:v>BAJFINANCE</c:v>
                </c:pt>
                <c:pt idx="3">
                  <c:v>BHARTIARTL</c:v>
                </c:pt>
                <c:pt idx="4">
                  <c:v>HDFCBANK</c:v>
                </c:pt>
                <c:pt idx="5">
                  <c:v>HINDUNILVR</c:v>
                </c:pt>
                <c:pt idx="6">
                  <c:v>ICICIBANK</c:v>
                </c:pt>
                <c:pt idx="7">
                  <c:v>INFY</c:v>
                </c:pt>
                <c:pt idx="8">
                  <c:v>ITC</c:v>
                </c:pt>
                <c:pt idx="9">
                  <c:v>KOTAKBANK</c:v>
                </c:pt>
                <c:pt idx="10">
                  <c:v>LT</c:v>
                </c:pt>
                <c:pt idx="11">
                  <c:v>MARUTI</c:v>
                </c:pt>
                <c:pt idx="12">
                  <c:v>NTPC</c:v>
                </c:pt>
                <c:pt idx="13">
                  <c:v>POWERGRID</c:v>
                </c:pt>
                <c:pt idx="14">
                  <c:v>RELIANCE</c:v>
                </c:pt>
                <c:pt idx="15">
                  <c:v>SBIN</c:v>
                </c:pt>
                <c:pt idx="16">
                  <c:v>SUNPHARMA</c:v>
                </c:pt>
                <c:pt idx="17">
                  <c:v>TCS</c:v>
                </c:pt>
                <c:pt idx="18">
                  <c:v>TITAN</c:v>
                </c:pt>
                <c:pt idx="19">
                  <c:v>WIPRO</c:v>
                </c:pt>
              </c:strCache>
            </c:strRef>
          </c:cat>
          <c:val>
            <c:numRef>
              <c:f>'Charts &amp; Analysis'!$K$5:$K$24</c:f>
              <c:numCache>
                <c:formatCode>General</c:formatCode>
                <c:ptCount val="20"/>
                <c:pt idx="0">
                  <c:v>1260.98</c:v>
                </c:pt>
                <c:pt idx="1">
                  <c:v>2855.3</c:v>
                </c:pt>
                <c:pt idx="2">
                  <c:v>6907.12</c:v>
                </c:pt>
                <c:pt idx="3">
                  <c:v>1662.7</c:v>
                </c:pt>
                <c:pt idx="4">
                  <c:v>1659.2</c:v>
                </c:pt>
                <c:pt idx="5">
                  <c:v>2426.07</c:v>
                </c:pt>
                <c:pt idx="6">
                  <c:v>1072.81</c:v>
                </c:pt>
                <c:pt idx="7">
                  <c:v>1470.85</c:v>
                </c:pt>
                <c:pt idx="8">
                  <c:v>451.09</c:v>
                </c:pt>
                <c:pt idx="9">
                  <c:v>1766.88</c:v>
                </c:pt>
                <c:pt idx="10">
                  <c:v>3426.57</c:v>
                </c:pt>
                <c:pt idx="11">
                  <c:v>11115.48</c:v>
                </c:pt>
                <c:pt idx="12">
                  <c:v>366.79</c:v>
                </c:pt>
                <c:pt idx="13">
                  <c:v>325.22</c:v>
                </c:pt>
                <c:pt idx="14">
                  <c:v>2824.41</c:v>
                </c:pt>
                <c:pt idx="15">
                  <c:v>771.13</c:v>
                </c:pt>
                <c:pt idx="16">
                  <c:v>1626.15</c:v>
                </c:pt>
                <c:pt idx="17">
                  <c:v>3970.52</c:v>
                </c:pt>
                <c:pt idx="18">
                  <c:v>3525.79</c:v>
                </c:pt>
                <c:pt idx="19">
                  <c:v>486.93</c:v>
                </c:pt>
              </c:numCache>
            </c:numRef>
          </c:val>
        </c:ser>
        <c:ser>
          <c:idx val="1"/>
          <c:order val="1"/>
          <c:tx>
            <c:strRef>
              <c:f>'Charts &amp; Analysis'!$L$4</c:f>
              <c:strCache>
                <c:ptCount val="1"/>
                <c:pt idx="0">
                  <c:v>Avg Low</c:v>
                </c:pt>
              </c:strCache>
            </c:strRef>
          </c:tx>
          <c:spPr>
            <a:solidFill>
              <a:srgbClr val="E53935"/>
            </a:solidFill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'Charts &amp; Analysis'!$J$5:$J$24</c:f>
              <c:strCache>
                <c:ptCount val="20"/>
                <c:pt idx="0">
                  <c:v>ADANIPORTS</c:v>
                </c:pt>
                <c:pt idx="1">
                  <c:v>ASIANPAINT</c:v>
                </c:pt>
                <c:pt idx="2">
                  <c:v>BAJFINANCE</c:v>
                </c:pt>
                <c:pt idx="3">
                  <c:v>BHARTIARTL</c:v>
                </c:pt>
                <c:pt idx="4">
                  <c:v>HDFCBANK</c:v>
                </c:pt>
                <c:pt idx="5">
                  <c:v>HINDUNILVR</c:v>
                </c:pt>
                <c:pt idx="6">
                  <c:v>ICICIBANK</c:v>
                </c:pt>
                <c:pt idx="7">
                  <c:v>INFY</c:v>
                </c:pt>
                <c:pt idx="8">
                  <c:v>ITC</c:v>
                </c:pt>
                <c:pt idx="9">
                  <c:v>KOTAKBANK</c:v>
                </c:pt>
                <c:pt idx="10">
                  <c:v>LT</c:v>
                </c:pt>
                <c:pt idx="11">
                  <c:v>MARUTI</c:v>
                </c:pt>
                <c:pt idx="12">
                  <c:v>NTPC</c:v>
                </c:pt>
                <c:pt idx="13">
                  <c:v>POWERGRID</c:v>
                </c:pt>
                <c:pt idx="14">
                  <c:v>RELIANCE</c:v>
                </c:pt>
                <c:pt idx="15">
                  <c:v>SBIN</c:v>
                </c:pt>
                <c:pt idx="16">
                  <c:v>SUNPHARMA</c:v>
                </c:pt>
                <c:pt idx="17">
                  <c:v>TCS</c:v>
                </c:pt>
                <c:pt idx="18">
                  <c:v>TITAN</c:v>
                </c:pt>
                <c:pt idx="19">
                  <c:v>WIPRO</c:v>
                </c:pt>
              </c:strCache>
            </c:strRef>
          </c:cat>
          <c:val>
            <c:numRef>
              <c:f>'Charts &amp; Analysis'!$L$5:$L$24</c:f>
              <c:numCache>
                <c:formatCode>General</c:formatCode>
                <c:ptCount val="20"/>
                <c:pt idx="0">
                  <c:v>1228.93</c:v>
                </c:pt>
                <c:pt idx="1">
                  <c:v>2759.82</c:v>
                </c:pt>
                <c:pt idx="2">
                  <c:v>6717.53</c:v>
                </c:pt>
                <c:pt idx="3">
                  <c:v>1610.47</c:v>
                </c:pt>
                <c:pt idx="4">
                  <c:v>1631.29</c:v>
                </c:pt>
                <c:pt idx="5">
                  <c:v>2370.1</c:v>
                </c:pt>
                <c:pt idx="6">
                  <c:v>1049.11</c:v>
                </c:pt>
                <c:pt idx="7">
                  <c:v>1427.86</c:v>
                </c:pt>
                <c:pt idx="8">
                  <c:v>439.85</c:v>
                </c:pt>
                <c:pt idx="9">
                  <c:v>1724.46</c:v>
                </c:pt>
                <c:pt idx="10">
                  <c:v>3343.12</c:v>
                </c:pt>
                <c:pt idx="11">
                  <c:v>10917.61</c:v>
                </c:pt>
                <c:pt idx="12">
                  <c:v>357.35</c:v>
                </c:pt>
                <c:pt idx="13">
                  <c:v>318.49</c:v>
                </c:pt>
                <c:pt idx="14">
                  <c:v>2761.22</c:v>
                </c:pt>
                <c:pt idx="15">
                  <c:v>755.75</c:v>
                </c:pt>
                <c:pt idx="16">
                  <c:v>1583.48</c:v>
                </c:pt>
                <c:pt idx="17">
                  <c:v>3875.33</c:v>
                </c:pt>
                <c:pt idx="18">
                  <c:v>3421.2</c:v>
                </c:pt>
                <c:pt idx="19">
                  <c:v>474.04</c:v>
                </c:pt>
              </c:numCache>
            </c:numRef>
          </c:val>
        </c:ser>
        <c:ser>
          <c:idx val="2"/>
          <c:order val="2"/>
          <c:tx>
            <c:strRef>
              <c:f>'Charts &amp; Analysis'!$M$4</c:f>
              <c:strCache>
                <c:ptCount val="1"/>
                <c:pt idx="0">
                  <c:v>Avg Close</c:v>
                </c:pt>
              </c:strCache>
            </c:strRef>
          </c:tx>
          <c:spPr>
            <a:solidFill>
              <a:srgbClr val="2E7D32"/>
            </a:solidFill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'Charts &amp; Analysis'!$J$5:$J$24</c:f>
              <c:strCache>
                <c:ptCount val="20"/>
                <c:pt idx="0">
                  <c:v>ADANIPORTS</c:v>
                </c:pt>
                <c:pt idx="1">
                  <c:v>ASIANPAINT</c:v>
                </c:pt>
                <c:pt idx="2">
                  <c:v>BAJFINANCE</c:v>
                </c:pt>
                <c:pt idx="3">
                  <c:v>BHARTIARTL</c:v>
                </c:pt>
                <c:pt idx="4">
                  <c:v>HDFCBANK</c:v>
                </c:pt>
                <c:pt idx="5">
                  <c:v>HINDUNILVR</c:v>
                </c:pt>
                <c:pt idx="6">
                  <c:v>ICICIBANK</c:v>
                </c:pt>
                <c:pt idx="7">
                  <c:v>INFY</c:v>
                </c:pt>
                <c:pt idx="8">
                  <c:v>ITC</c:v>
                </c:pt>
                <c:pt idx="9">
                  <c:v>KOTAKBANK</c:v>
                </c:pt>
                <c:pt idx="10">
                  <c:v>LT</c:v>
                </c:pt>
                <c:pt idx="11">
                  <c:v>MARUTI</c:v>
                </c:pt>
                <c:pt idx="12">
                  <c:v>NTPC</c:v>
                </c:pt>
                <c:pt idx="13">
                  <c:v>POWERGRID</c:v>
                </c:pt>
                <c:pt idx="14">
                  <c:v>RELIANCE</c:v>
                </c:pt>
                <c:pt idx="15">
                  <c:v>SBIN</c:v>
                </c:pt>
                <c:pt idx="16">
                  <c:v>SUNPHARMA</c:v>
                </c:pt>
                <c:pt idx="17">
                  <c:v>TCS</c:v>
                </c:pt>
                <c:pt idx="18">
                  <c:v>TITAN</c:v>
                </c:pt>
                <c:pt idx="19">
                  <c:v>WIPRO</c:v>
                </c:pt>
              </c:strCache>
            </c:strRef>
          </c:cat>
          <c:val>
            <c:numRef>
              <c:f>'Charts &amp; Analysis'!$M$5:$M$24</c:f>
              <c:numCache>
                <c:formatCode>General</c:formatCode>
                <c:ptCount val="20"/>
                <c:pt idx="0">
                  <c:v>1246.55</c:v>
                </c:pt>
                <c:pt idx="1">
                  <c:v>2806.74</c:v>
                </c:pt>
                <c:pt idx="2">
                  <c:v>6804.66</c:v>
                </c:pt>
                <c:pt idx="3">
                  <c:v>1645.27</c:v>
                </c:pt>
                <c:pt idx="4">
                  <c:v>1638.02</c:v>
                </c:pt>
                <c:pt idx="5">
                  <c:v>2404.94</c:v>
                </c:pt>
                <c:pt idx="6">
                  <c:v>1064.04</c:v>
                </c:pt>
                <c:pt idx="7">
                  <c:v>1453.11</c:v>
                </c:pt>
                <c:pt idx="8">
                  <c:v>444.06</c:v>
                </c:pt>
                <c:pt idx="9">
                  <c:v>1738.05</c:v>
                </c:pt>
                <c:pt idx="10">
                  <c:v>3381.51</c:v>
                </c:pt>
                <c:pt idx="11">
                  <c:v>10992.37</c:v>
                </c:pt>
                <c:pt idx="12">
                  <c:v>361.92</c:v>
                </c:pt>
                <c:pt idx="13">
                  <c:v>322.05</c:v>
                </c:pt>
                <c:pt idx="14">
                  <c:v>2781.82</c:v>
                </c:pt>
                <c:pt idx="15">
                  <c:v>762.76</c:v>
                </c:pt>
                <c:pt idx="16">
                  <c:v>1601.54</c:v>
                </c:pt>
                <c:pt idx="17">
                  <c:v>3926.14</c:v>
                </c:pt>
                <c:pt idx="18">
                  <c:v>3457.29</c:v>
                </c:pt>
                <c:pt idx="19">
                  <c:v>479.88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Ticker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Price (₹)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2d541ef-f1ae-4e3d-8603-954f73c3b281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Chart 7: Positive vs Negative Trading Days per Company</a:t>
            </a:r>
          </a:p>
        </c:rich>
      </c:tx>
      <c:layout/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'Charts &amp; Analysis'!$B$20</c:f>
              <c:strCache>
                <c:ptCount val="1"/>
                <c:pt idx="0">
                  <c:v>Positive Days</c:v>
                </c:pt>
              </c:strCache>
            </c:strRef>
          </c:tx>
          <c:spPr>
            <a:solidFill>
              <a:srgbClr val="2E7D32"/>
            </a:solidFill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'Charts &amp; Analysis'!$A$21:$A$40</c:f>
              <c:strCache>
                <c:ptCount val="20"/>
                <c:pt idx="0">
                  <c:v>ADANIPORTS</c:v>
                </c:pt>
                <c:pt idx="1">
                  <c:v>ASIANPAINT</c:v>
                </c:pt>
                <c:pt idx="2">
                  <c:v>BAJFINANCE</c:v>
                </c:pt>
                <c:pt idx="3">
                  <c:v>BHARTIARTL</c:v>
                </c:pt>
                <c:pt idx="4">
                  <c:v>HDFCBANK</c:v>
                </c:pt>
                <c:pt idx="5">
                  <c:v>HINDUNILVR</c:v>
                </c:pt>
                <c:pt idx="6">
                  <c:v>ICICIBANK</c:v>
                </c:pt>
                <c:pt idx="7">
                  <c:v>INFY</c:v>
                </c:pt>
                <c:pt idx="8">
                  <c:v>ITC</c:v>
                </c:pt>
                <c:pt idx="9">
                  <c:v>KOTAKBANK</c:v>
                </c:pt>
                <c:pt idx="10">
                  <c:v>LT</c:v>
                </c:pt>
                <c:pt idx="11">
                  <c:v>MARUTI</c:v>
                </c:pt>
                <c:pt idx="12">
                  <c:v>NTPC</c:v>
                </c:pt>
                <c:pt idx="13">
                  <c:v>POWERGRID</c:v>
                </c:pt>
                <c:pt idx="14">
                  <c:v>RELIANCE</c:v>
                </c:pt>
                <c:pt idx="15">
                  <c:v>SBIN</c:v>
                </c:pt>
                <c:pt idx="16">
                  <c:v>SUNPHARMA</c:v>
                </c:pt>
                <c:pt idx="17">
                  <c:v>TCS</c:v>
                </c:pt>
                <c:pt idx="18">
                  <c:v>TITAN</c:v>
                </c:pt>
                <c:pt idx="19">
                  <c:v>WIPRO</c:v>
                </c:pt>
              </c:strCache>
            </c:strRef>
          </c:cat>
          <c:val>
            <c:numRef>
              <c:f>'Charts &amp; Analysis'!$B$21:$B$40</c:f>
              <c:numCache>
                <c:formatCode>General</c:formatCode>
                <c:ptCount val="20"/>
                <c:pt idx="0">
                  <c:v>2</c:v>
                </c:pt>
                <c:pt idx="1">
                  <c:v>3</c:v>
                </c:pt>
                <c:pt idx="2">
                  <c:v>2</c:v>
                </c:pt>
                <c:pt idx="3">
                  <c:v>4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3</c:v>
                </c:pt>
                <c:pt idx="8">
                  <c:v>4</c:v>
                </c:pt>
                <c:pt idx="9">
                  <c:v>2</c:v>
                </c:pt>
                <c:pt idx="10">
                  <c:v>2</c:v>
                </c:pt>
                <c:pt idx="11">
                  <c:v>1</c:v>
                </c:pt>
                <c:pt idx="12">
                  <c:v>2</c:v>
                </c:pt>
                <c:pt idx="13">
                  <c:v>1</c:v>
                </c:pt>
                <c:pt idx="14">
                  <c:v>2</c:v>
                </c:pt>
                <c:pt idx="15">
                  <c:v>2</c:v>
                </c:pt>
                <c:pt idx="16">
                  <c:v>3</c:v>
                </c:pt>
                <c:pt idx="17">
                  <c:v>3</c:v>
                </c:pt>
                <c:pt idx="18">
                  <c:v>2</c:v>
                </c:pt>
                <c:pt idx="19">
                  <c:v>2</c:v>
                </c:pt>
              </c:numCache>
            </c:numRef>
          </c:val>
        </c:ser>
        <c:ser>
          <c:idx val="1"/>
          <c:order val="1"/>
          <c:tx>
            <c:strRef>
              <c:f>'Charts &amp; Analysis'!$C$20</c:f>
              <c:strCache>
                <c:ptCount val="1"/>
                <c:pt idx="0">
                  <c:v>Negative Days</c:v>
                </c:pt>
              </c:strCache>
            </c:strRef>
          </c:tx>
          <c:spPr>
            <a:solidFill>
              <a:srgbClr val="C62828"/>
            </a:solidFill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'Charts &amp; Analysis'!$A$21:$A$40</c:f>
              <c:strCache>
                <c:ptCount val="20"/>
                <c:pt idx="0">
                  <c:v>ADANIPORTS</c:v>
                </c:pt>
                <c:pt idx="1">
                  <c:v>ASIANPAINT</c:v>
                </c:pt>
                <c:pt idx="2">
                  <c:v>BAJFINANCE</c:v>
                </c:pt>
                <c:pt idx="3">
                  <c:v>BHARTIARTL</c:v>
                </c:pt>
                <c:pt idx="4">
                  <c:v>HDFCBANK</c:v>
                </c:pt>
                <c:pt idx="5">
                  <c:v>HINDUNILVR</c:v>
                </c:pt>
                <c:pt idx="6">
                  <c:v>ICICIBANK</c:v>
                </c:pt>
                <c:pt idx="7">
                  <c:v>INFY</c:v>
                </c:pt>
                <c:pt idx="8">
                  <c:v>ITC</c:v>
                </c:pt>
                <c:pt idx="9">
                  <c:v>KOTAKBANK</c:v>
                </c:pt>
                <c:pt idx="10">
                  <c:v>LT</c:v>
                </c:pt>
                <c:pt idx="11">
                  <c:v>MARUTI</c:v>
                </c:pt>
                <c:pt idx="12">
                  <c:v>NTPC</c:v>
                </c:pt>
                <c:pt idx="13">
                  <c:v>POWERGRID</c:v>
                </c:pt>
                <c:pt idx="14">
                  <c:v>RELIANCE</c:v>
                </c:pt>
                <c:pt idx="15">
                  <c:v>SBIN</c:v>
                </c:pt>
                <c:pt idx="16">
                  <c:v>SUNPHARMA</c:v>
                </c:pt>
                <c:pt idx="17">
                  <c:v>TCS</c:v>
                </c:pt>
                <c:pt idx="18">
                  <c:v>TITAN</c:v>
                </c:pt>
                <c:pt idx="19">
                  <c:v>WIPRO</c:v>
                </c:pt>
              </c:strCache>
            </c:strRef>
          </c:cat>
          <c:val>
            <c:numRef>
              <c:f>'Charts &amp; Analysis'!$C$21:$C$40</c:f>
              <c:numCache>
                <c:formatCode>General</c:formatCode>
                <c:ptCount val="20"/>
                <c:pt idx="0">
                  <c:v>3</c:v>
                </c:pt>
                <c:pt idx="1">
                  <c:v>2</c:v>
                </c:pt>
                <c:pt idx="2">
                  <c:v>3</c:v>
                </c:pt>
                <c:pt idx="3">
                  <c:v>1</c:v>
                </c:pt>
                <c:pt idx="4">
                  <c:v>4</c:v>
                </c:pt>
                <c:pt idx="5">
                  <c:v>3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3</c:v>
                </c:pt>
                <c:pt idx="10">
                  <c:v>3</c:v>
                </c:pt>
                <c:pt idx="11">
                  <c:v>4</c:v>
                </c:pt>
                <c:pt idx="12">
                  <c:v>3</c:v>
                </c:pt>
                <c:pt idx="13">
                  <c:v>4</c:v>
                </c:pt>
                <c:pt idx="14">
                  <c:v>3</c:v>
                </c:pt>
                <c:pt idx="15">
                  <c:v>3</c:v>
                </c:pt>
                <c:pt idx="16">
                  <c:v>2</c:v>
                </c:pt>
                <c:pt idx="17">
                  <c:v>2</c:v>
                </c:pt>
                <c:pt idx="18">
                  <c:v>3</c:v>
                </c:pt>
                <c:pt idx="19">
                  <c:v>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Ticker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Number of Days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db29894-ea52-4df6-b919-d303587e546c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Chart 8: Trading Volume Trend (First 30 Entries)</a:t>
            </a:r>
          </a:p>
        </c:rich>
      </c:tx>
      <c:layout/>
      <c:overlay val="0"/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'Charts &amp; Analysis'!$B$91</c:f>
              <c:strCache>
                <c:ptCount val="1"/>
                <c:pt idx="0">
                  <c:v>Volume</c:v>
                </c:pt>
              </c:strCache>
            </c:strRef>
          </c:tx>
          <c:spPr>
            <a:solidFill>
              <a:srgbClr val="0277BD"/>
            </a:solidFill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dLbls>
            <c:delete val="1"/>
          </c:dLbls>
          <c:cat>
            <c:numRef>
              <c:f>'Charts &amp; Analysis'!$A$92:$A$121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'Charts &amp; Analysis'!$B$92:$B$121</c:f>
              <c:numCache>
                <c:formatCode>General</c:formatCode>
                <c:ptCount val="30"/>
                <c:pt idx="0">
                  <c:v>11436994</c:v>
                </c:pt>
                <c:pt idx="1">
                  <c:v>13098418</c:v>
                </c:pt>
                <c:pt idx="2">
                  <c:v>6141215</c:v>
                </c:pt>
                <c:pt idx="3">
                  <c:v>14222580</c:v>
                </c:pt>
                <c:pt idx="4">
                  <c:v>5232314</c:v>
                </c:pt>
                <c:pt idx="5">
                  <c:v>13071485</c:v>
                </c:pt>
                <c:pt idx="6">
                  <c:v>9366711</c:v>
                </c:pt>
                <c:pt idx="7">
                  <c:v>3058458</c:v>
                </c:pt>
                <c:pt idx="8">
                  <c:v>14220339</c:v>
                </c:pt>
                <c:pt idx="9">
                  <c:v>3576305</c:v>
                </c:pt>
                <c:pt idx="10">
                  <c:v>4010279</c:v>
                </c:pt>
                <c:pt idx="11">
                  <c:v>4270233</c:v>
                </c:pt>
                <c:pt idx="12">
                  <c:v>1252032</c:v>
                </c:pt>
                <c:pt idx="13">
                  <c:v>10397685</c:v>
                </c:pt>
                <c:pt idx="14">
                  <c:v>13144580</c:v>
                </c:pt>
                <c:pt idx="15">
                  <c:v>2438606</c:v>
                </c:pt>
                <c:pt idx="16">
                  <c:v>5266548</c:v>
                </c:pt>
                <c:pt idx="17">
                  <c:v>8252994</c:v>
                </c:pt>
                <c:pt idx="18">
                  <c:v>5730979</c:v>
                </c:pt>
                <c:pt idx="19">
                  <c:v>6534078</c:v>
                </c:pt>
                <c:pt idx="20">
                  <c:v>12262888</c:v>
                </c:pt>
                <c:pt idx="21">
                  <c:v>10392903</c:v>
                </c:pt>
                <c:pt idx="22">
                  <c:v>14105109</c:v>
                </c:pt>
                <c:pt idx="23">
                  <c:v>11666813</c:v>
                </c:pt>
                <c:pt idx="24">
                  <c:v>8901792</c:v>
                </c:pt>
                <c:pt idx="25">
                  <c:v>2906602</c:v>
                </c:pt>
                <c:pt idx="26">
                  <c:v>13226114</c:v>
                </c:pt>
                <c:pt idx="27">
                  <c:v>10702685</c:v>
                </c:pt>
                <c:pt idx="28">
                  <c:v>11875410</c:v>
                </c:pt>
                <c:pt idx="29">
                  <c:v>12762272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area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Entry #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Volume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d2438ff-69c1-4021-831f-df3437ed7314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Chart 9: Avg Close Price per Company (₹)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'Charts &amp; Analysis'!$M$4</c:f>
              <c:strCache>
                <c:ptCount val="1"/>
                <c:pt idx="0">
                  <c:v>Avg Close</c:v>
                </c:pt>
              </c:strCache>
            </c:strRef>
          </c:tx>
          <c:spPr>
            <a:solidFill>
              <a:srgbClr val="F57F17"/>
            </a:solidFill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'Charts &amp; Analysis'!$J$5:$J$24</c:f>
              <c:strCache>
                <c:ptCount val="20"/>
                <c:pt idx="0">
                  <c:v>ADANIPORTS</c:v>
                </c:pt>
                <c:pt idx="1">
                  <c:v>ASIANPAINT</c:v>
                </c:pt>
                <c:pt idx="2">
                  <c:v>BAJFINANCE</c:v>
                </c:pt>
                <c:pt idx="3">
                  <c:v>BHARTIARTL</c:v>
                </c:pt>
                <c:pt idx="4">
                  <c:v>HDFCBANK</c:v>
                </c:pt>
                <c:pt idx="5">
                  <c:v>HINDUNILVR</c:v>
                </c:pt>
                <c:pt idx="6">
                  <c:v>ICICIBANK</c:v>
                </c:pt>
                <c:pt idx="7">
                  <c:v>INFY</c:v>
                </c:pt>
                <c:pt idx="8">
                  <c:v>ITC</c:v>
                </c:pt>
                <c:pt idx="9">
                  <c:v>KOTAKBANK</c:v>
                </c:pt>
                <c:pt idx="10">
                  <c:v>LT</c:v>
                </c:pt>
                <c:pt idx="11">
                  <c:v>MARUTI</c:v>
                </c:pt>
                <c:pt idx="12">
                  <c:v>NTPC</c:v>
                </c:pt>
                <c:pt idx="13">
                  <c:v>POWERGRID</c:v>
                </c:pt>
                <c:pt idx="14">
                  <c:v>RELIANCE</c:v>
                </c:pt>
                <c:pt idx="15">
                  <c:v>SBIN</c:v>
                </c:pt>
                <c:pt idx="16">
                  <c:v>SUNPHARMA</c:v>
                </c:pt>
                <c:pt idx="17">
                  <c:v>TCS</c:v>
                </c:pt>
                <c:pt idx="18">
                  <c:v>TITAN</c:v>
                </c:pt>
                <c:pt idx="19">
                  <c:v>WIPRO</c:v>
                </c:pt>
              </c:strCache>
            </c:strRef>
          </c:cat>
          <c:val>
            <c:numRef>
              <c:f>'Charts &amp; Analysis'!$M$5:$M$24</c:f>
              <c:numCache>
                <c:formatCode>General</c:formatCode>
                <c:ptCount val="20"/>
                <c:pt idx="0">
                  <c:v>1246.55</c:v>
                </c:pt>
                <c:pt idx="1">
                  <c:v>2806.74</c:v>
                </c:pt>
                <c:pt idx="2">
                  <c:v>6804.66</c:v>
                </c:pt>
                <c:pt idx="3">
                  <c:v>1645.27</c:v>
                </c:pt>
                <c:pt idx="4">
                  <c:v>1638.02</c:v>
                </c:pt>
                <c:pt idx="5">
                  <c:v>2404.94</c:v>
                </c:pt>
                <c:pt idx="6">
                  <c:v>1064.04</c:v>
                </c:pt>
                <c:pt idx="7">
                  <c:v>1453.11</c:v>
                </c:pt>
                <c:pt idx="8">
                  <c:v>444.06</c:v>
                </c:pt>
                <c:pt idx="9">
                  <c:v>1738.05</c:v>
                </c:pt>
                <c:pt idx="10">
                  <c:v>3381.51</c:v>
                </c:pt>
                <c:pt idx="11">
                  <c:v>10992.37</c:v>
                </c:pt>
                <c:pt idx="12">
                  <c:v>361.92</c:v>
                </c:pt>
                <c:pt idx="13">
                  <c:v>322.05</c:v>
                </c:pt>
                <c:pt idx="14">
                  <c:v>2781.82</c:v>
                </c:pt>
                <c:pt idx="15">
                  <c:v>762.76</c:v>
                </c:pt>
                <c:pt idx="16">
                  <c:v>1601.54</c:v>
                </c:pt>
                <c:pt idx="17">
                  <c:v>3926.14</c:v>
                </c:pt>
                <c:pt idx="18">
                  <c:v>3457.29</c:v>
                </c:pt>
                <c:pt idx="19">
                  <c:v>479.88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Ticker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Avg Close Price (₹)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45471bd-1048-49cc-a36e-0ec8fd7fa1ef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chart" Target="../charts/chart9.xml"/><Relationship Id="rId8" Type="http://schemas.openxmlformats.org/officeDocument/2006/relationships/chart" Target="../charts/chart8.xml"/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59</xdr:row>
      <xdr:rowOff>0</xdr:rowOff>
    </xdr:from>
    <xdr:ext cx="6480000" cy="4152360"/>
    <xdr:graphicFrame>
      <xdr:nvGraphicFramePr>
        <xdr:cNvPr id="2" name="Chart 1"/>
        <xdr:cNvGraphicFramePr/>
      </xdr:nvGraphicFramePr>
      <xdr:xfrm>
        <a:off x="0" y="11308080"/>
        <a:ext cx="6479540" cy="41522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10</xdr:col>
      <xdr:colOff>0</xdr:colOff>
      <xdr:row>59</xdr:row>
      <xdr:rowOff>0</xdr:rowOff>
    </xdr:from>
    <xdr:ext cx="7200000" cy="4152360"/>
    <xdr:graphicFrame>
      <xdr:nvGraphicFramePr>
        <xdr:cNvPr id="3" name="Chart 2"/>
        <xdr:cNvGraphicFramePr/>
      </xdr:nvGraphicFramePr>
      <xdr:xfrm>
        <a:off x="9326880" y="11308080"/>
        <a:ext cx="7199630" cy="41522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20</xdr:col>
      <xdr:colOff>0</xdr:colOff>
      <xdr:row>59</xdr:row>
      <xdr:rowOff>0</xdr:rowOff>
    </xdr:from>
    <xdr:ext cx="5760000" cy="4152360"/>
    <xdr:graphicFrame>
      <xdr:nvGraphicFramePr>
        <xdr:cNvPr id="4" name="Chart 3"/>
        <xdr:cNvGraphicFramePr/>
      </xdr:nvGraphicFramePr>
      <xdr:xfrm>
        <a:off x="16322040" y="11308080"/>
        <a:ext cx="5759450" cy="41522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0</xdr:colOff>
      <xdr:row>81</xdr:row>
      <xdr:rowOff>0</xdr:rowOff>
    </xdr:from>
    <xdr:ext cx="7920000" cy="4152360"/>
    <xdr:graphicFrame>
      <xdr:nvGraphicFramePr>
        <xdr:cNvPr id="5" name="Chart 4"/>
        <xdr:cNvGraphicFramePr/>
      </xdr:nvGraphicFramePr>
      <xdr:xfrm>
        <a:off x="0" y="15331440"/>
        <a:ext cx="7919720" cy="41522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10</xdr:col>
      <xdr:colOff>0</xdr:colOff>
      <xdr:row>81</xdr:row>
      <xdr:rowOff>0</xdr:rowOff>
    </xdr:from>
    <xdr:ext cx="6480000" cy="4152360"/>
    <xdr:graphicFrame>
      <xdr:nvGraphicFramePr>
        <xdr:cNvPr id="6" name="Chart 5"/>
        <xdr:cNvGraphicFramePr/>
      </xdr:nvGraphicFramePr>
      <xdr:xfrm>
        <a:off x="9326880" y="15331440"/>
        <a:ext cx="6479540" cy="41522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20</xdr:col>
      <xdr:colOff>0</xdr:colOff>
      <xdr:row>81</xdr:row>
      <xdr:rowOff>0</xdr:rowOff>
    </xdr:from>
    <xdr:ext cx="8640000" cy="4497120"/>
    <xdr:graphicFrame>
      <xdr:nvGraphicFramePr>
        <xdr:cNvPr id="7" name="Chart 6"/>
        <xdr:cNvGraphicFramePr/>
      </xdr:nvGraphicFramePr>
      <xdr:xfrm>
        <a:off x="16322040" y="15331440"/>
        <a:ext cx="8639810" cy="44970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0</xdr:col>
      <xdr:colOff>0</xdr:colOff>
      <xdr:row>103</xdr:row>
      <xdr:rowOff>0</xdr:rowOff>
    </xdr:from>
    <xdr:ext cx="7920000" cy="4152360"/>
    <xdr:graphicFrame>
      <xdr:nvGraphicFramePr>
        <xdr:cNvPr id="8" name="Chart 7"/>
        <xdr:cNvGraphicFramePr/>
      </xdr:nvGraphicFramePr>
      <xdr:xfrm>
        <a:off x="0" y="19354800"/>
        <a:ext cx="7919720" cy="41522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10</xdr:col>
      <xdr:colOff>0</xdr:colOff>
      <xdr:row>103</xdr:row>
      <xdr:rowOff>0</xdr:rowOff>
    </xdr:from>
    <xdr:ext cx="7920000" cy="4152360"/>
    <xdr:graphicFrame>
      <xdr:nvGraphicFramePr>
        <xdr:cNvPr id="9" name="Chart 8"/>
        <xdr:cNvGraphicFramePr/>
      </xdr:nvGraphicFramePr>
      <xdr:xfrm>
        <a:off x="9326880" y="19354800"/>
        <a:ext cx="7919720" cy="41522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20</xdr:col>
      <xdr:colOff>0</xdr:colOff>
      <xdr:row>103</xdr:row>
      <xdr:rowOff>0</xdr:rowOff>
    </xdr:from>
    <xdr:ext cx="7920000" cy="4152360"/>
    <xdr:graphicFrame>
      <xdr:nvGraphicFramePr>
        <xdr:cNvPr id="10" name="Chart 9"/>
        <xdr:cNvGraphicFramePr/>
      </xdr:nvGraphicFramePr>
      <xdr:xfrm>
        <a:off x="16322040" y="19354800"/>
        <a:ext cx="7919720" cy="41522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2"/>
  <sheetViews>
    <sheetView workbookViewId="0">
      <pane ySplit="2" topLeftCell="A38" activePane="bottomLeft" state="frozen"/>
      <selection/>
      <selection pane="bottomLeft" activeCell="A1" sqref="A1:N1"/>
    </sheetView>
  </sheetViews>
  <sheetFormatPr defaultColWidth="9" defaultRowHeight="14.4"/>
  <cols>
    <col min="1" max="1" width="6" customWidth="1"/>
    <col min="2" max="2" width="28" customWidth="1"/>
    <col min="3" max="3" width="13" customWidth="1"/>
    <col min="4" max="4" width="16" customWidth="1"/>
    <col min="5" max="5" width="14" customWidth="1"/>
    <col min="6" max="9" width="11" customWidth="1"/>
    <col min="10" max="10" width="13" customWidth="1"/>
    <col min="11" max="11" width="16" customWidth="1"/>
    <col min="12" max="12" width="10" customWidth="1"/>
    <col min="13" max="14" width="12" customWidth="1"/>
  </cols>
  <sheetData>
    <row r="1" ht="30" customHeight="1" spans="1:14">
      <c r="A1" s="12" t="s">
        <v>0</v>
      </c>
    </row>
    <row r="2" ht="30" customHeight="1" spans="1:14">
      <c r="A2" s="13" t="s">
        <v>1</v>
      </c>
      <c r="B2" s="13" t="s">
        <v>2</v>
      </c>
      <c r="C2" s="13" t="s">
        <v>3</v>
      </c>
      <c r="D2" s="13" t="s">
        <v>4</v>
      </c>
      <c r="E2" s="13" t="s">
        <v>5</v>
      </c>
      <c r="F2" s="13" t="s">
        <v>6</v>
      </c>
      <c r="G2" s="13" t="s">
        <v>7</v>
      </c>
      <c r="H2" s="13" t="s">
        <v>8</v>
      </c>
      <c r="I2" s="13" t="s">
        <v>9</v>
      </c>
      <c r="J2" s="13" t="s">
        <v>10</v>
      </c>
      <c r="K2" s="13" t="s">
        <v>11</v>
      </c>
      <c r="L2" s="13" t="s">
        <v>12</v>
      </c>
      <c r="M2" s="13" t="s">
        <v>13</v>
      </c>
      <c r="N2" s="13" t="s">
        <v>14</v>
      </c>
    </row>
    <row r="3" spans="1:14">
      <c r="A3" s="14">
        <v>1</v>
      </c>
      <c r="B3" s="14" t="s">
        <v>15</v>
      </c>
      <c r="C3" s="14" t="s">
        <v>16</v>
      </c>
      <c r="D3" s="14" t="s">
        <v>17</v>
      </c>
      <c r="E3" s="15">
        <v>45658</v>
      </c>
      <c r="F3" s="16">
        <v>2740.57</v>
      </c>
      <c r="G3" s="16">
        <v>2742.05</v>
      </c>
      <c r="H3" s="16">
        <v>2703.12</v>
      </c>
      <c r="I3" s="16">
        <v>2708.18</v>
      </c>
      <c r="J3" s="17">
        <v>11436994</v>
      </c>
      <c r="K3" s="17">
        <v>2418018</v>
      </c>
      <c r="L3" s="14">
        <v>31.6</v>
      </c>
      <c r="M3" s="18">
        <f t="shared" ref="M3:M66" si="0">I3-F3</f>
        <v>-32.3900000000003</v>
      </c>
      <c r="N3" s="19">
        <f t="shared" ref="N3:N66" si="1">M3/F3</f>
        <v>-0.0118187092466167</v>
      </c>
    </row>
    <row r="4" spans="1:14">
      <c r="A4" s="20">
        <v>2</v>
      </c>
      <c r="B4" s="20" t="s">
        <v>18</v>
      </c>
      <c r="C4" s="20" t="s">
        <v>19</v>
      </c>
      <c r="D4" s="20" t="s">
        <v>20</v>
      </c>
      <c r="E4" s="21">
        <v>45660</v>
      </c>
      <c r="F4" s="22">
        <v>3948.25</v>
      </c>
      <c r="G4" s="22">
        <v>3981.36</v>
      </c>
      <c r="H4" s="22">
        <v>3928.58</v>
      </c>
      <c r="I4" s="22">
        <v>3964.31</v>
      </c>
      <c r="J4" s="23">
        <v>13098418</v>
      </c>
      <c r="K4" s="23">
        <v>1423086</v>
      </c>
      <c r="L4" s="20">
        <v>46</v>
      </c>
      <c r="M4" s="24">
        <f t="shared" si="0"/>
        <v>16.0599999999999</v>
      </c>
      <c r="N4" s="25">
        <f t="shared" si="1"/>
        <v>0.0040676248971063</v>
      </c>
    </row>
    <row r="5" spans="1:14">
      <c r="A5" s="14">
        <v>3</v>
      </c>
      <c r="B5" s="14" t="s">
        <v>21</v>
      </c>
      <c r="C5" s="14" t="s">
        <v>22</v>
      </c>
      <c r="D5" s="14" t="s">
        <v>23</v>
      </c>
      <c r="E5" s="15">
        <v>45662</v>
      </c>
      <c r="F5" s="16">
        <v>1673.03</v>
      </c>
      <c r="G5" s="16">
        <v>1691.74</v>
      </c>
      <c r="H5" s="16">
        <v>1661.06</v>
      </c>
      <c r="I5" s="16">
        <v>1661.6</v>
      </c>
      <c r="J5" s="17">
        <v>6141215</v>
      </c>
      <c r="K5" s="17">
        <v>1258788</v>
      </c>
      <c r="L5" s="14">
        <v>19.4</v>
      </c>
      <c r="M5" s="18">
        <f t="shared" si="0"/>
        <v>-11.4300000000001</v>
      </c>
      <c r="N5" s="19">
        <f t="shared" si="1"/>
        <v>-0.00683191574568302</v>
      </c>
    </row>
    <row r="6" spans="1:14">
      <c r="A6" s="20">
        <v>4</v>
      </c>
      <c r="B6" s="20" t="s">
        <v>24</v>
      </c>
      <c r="C6" s="20" t="s">
        <v>25</v>
      </c>
      <c r="D6" s="20" t="s">
        <v>20</v>
      </c>
      <c r="E6" s="21">
        <v>45664</v>
      </c>
      <c r="F6" s="22">
        <v>1437.23</v>
      </c>
      <c r="G6" s="22">
        <v>1464.38</v>
      </c>
      <c r="H6" s="22">
        <v>1415.18</v>
      </c>
      <c r="I6" s="22">
        <v>1458.37</v>
      </c>
      <c r="J6" s="23">
        <v>14222580</v>
      </c>
      <c r="K6" s="23">
        <v>603463</v>
      </c>
      <c r="L6" s="20">
        <v>55.4</v>
      </c>
      <c r="M6" s="24">
        <f t="shared" si="0"/>
        <v>21.1399999999999</v>
      </c>
      <c r="N6" s="25">
        <f t="shared" si="1"/>
        <v>0.0147088496621973</v>
      </c>
    </row>
    <row r="7" spans="1:14">
      <c r="A7" s="14">
        <v>5</v>
      </c>
      <c r="B7" s="14" t="s">
        <v>26</v>
      </c>
      <c r="C7" s="14" t="s">
        <v>27</v>
      </c>
      <c r="D7" s="14" t="s">
        <v>23</v>
      </c>
      <c r="E7" s="15">
        <v>45666</v>
      </c>
      <c r="F7" s="16">
        <v>1070.57</v>
      </c>
      <c r="G7" s="16">
        <v>1085.04</v>
      </c>
      <c r="H7" s="16">
        <v>1052.67</v>
      </c>
      <c r="I7" s="16">
        <v>1077.19</v>
      </c>
      <c r="J7" s="17">
        <v>5232314</v>
      </c>
      <c r="K7" s="17">
        <v>759162</v>
      </c>
      <c r="L7" s="14">
        <v>23.8</v>
      </c>
      <c r="M7" s="24">
        <f t="shared" si="0"/>
        <v>6.62000000000012</v>
      </c>
      <c r="N7" s="25">
        <f t="shared" si="1"/>
        <v>0.00618362180894301</v>
      </c>
    </row>
    <row r="8" spans="1:14">
      <c r="A8" s="20">
        <v>6</v>
      </c>
      <c r="B8" s="20" t="s">
        <v>28</v>
      </c>
      <c r="C8" s="20" t="s">
        <v>29</v>
      </c>
      <c r="D8" s="20" t="s">
        <v>30</v>
      </c>
      <c r="E8" s="21">
        <v>45668</v>
      </c>
      <c r="F8" s="22">
        <v>2374.62</v>
      </c>
      <c r="G8" s="22">
        <v>2400.16</v>
      </c>
      <c r="H8" s="22">
        <v>2325.88</v>
      </c>
      <c r="I8" s="22">
        <v>2360.61</v>
      </c>
      <c r="J8" s="23">
        <v>13071485</v>
      </c>
      <c r="K8" s="23">
        <v>550809</v>
      </c>
      <c r="L8" s="20">
        <v>16.2</v>
      </c>
      <c r="M8" s="18">
        <f t="shared" si="0"/>
        <v>-14.0099999999998</v>
      </c>
      <c r="N8" s="19">
        <f t="shared" si="1"/>
        <v>-0.00589989135103712</v>
      </c>
    </row>
    <row r="9" spans="1:14">
      <c r="A9" s="14">
        <v>7</v>
      </c>
      <c r="B9" s="14" t="s">
        <v>31</v>
      </c>
      <c r="C9" s="14" t="s">
        <v>32</v>
      </c>
      <c r="D9" s="14" t="s">
        <v>30</v>
      </c>
      <c r="E9" s="15">
        <v>45670</v>
      </c>
      <c r="F9" s="16">
        <v>437.55</v>
      </c>
      <c r="G9" s="16">
        <v>438.65</v>
      </c>
      <c r="H9" s="16">
        <v>430.67</v>
      </c>
      <c r="I9" s="16">
        <v>436.32</v>
      </c>
      <c r="J9" s="17">
        <v>9366711</v>
      </c>
      <c r="K9" s="17">
        <v>542976</v>
      </c>
      <c r="L9" s="14">
        <v>59</v>
      </c>
      <c r="M9" s="18">
        <f t="shared" si="0"/>
        <v>-1.23000000000002</v>
      </c>
      <c r="N9" s="19">
        <f t="shared" si="1"/>
        <v>-0.00281110730202267</v>
      </c>
    </row>
    <row r="10" spans="1:14">
      <c r="A10" s="20">
        <v>8</v>
      </c>
      <c r="B10" s="20" t="s">
        <v>33</v>
      </c>
      <c r="C10" s="20" t="s">
        <v>34</v>
      </c>
      <c r="D10" s="20" t="s">
        <v>35</v>
      </c>
      <c r="E10" s="21">
        <v>45672</v>
      </c>
      <c r="F10" s="22">
        <v>3424.08</v>
      </c>
      <c r="G10" s="22">
        <v>3429.35</v>
      </c>
      <c r="H10" s="22">
        <v>3385.75</v>
      </c>
      <c r="I10" s="22">
        <v>3385.78</v>
      </c>
      <c r="J10" s="23">
        <v>3058458</v>
      </c>
      <c r="K10" s="23">
        <v>477992</v>
      </c>
      <c r="L10" s="20">
        <v>46.5</v>
      </c>
      <c r="M10" s="18">
        <f t="shared" si="0"/>
        <v>-38.2999999999997</v>
      </c>
      <c r="N10" s="19">
        <f t="shared" si="1"/>
        <v>-0.011185486320413</v>
      </c>
    </row>
    <row r="11" spans="1:14">
      <c r="A11" s="14">
        <v>9</v>
      </c>
      <c r="B11" s="14" t="s">
        <v>36</v>
      </c>
      <c r="C11" s="14" t="s">
        <v>37</v>
      </c>
      <c r="D11" s="14" t="s">
        <v>23</v>
      </c>
      <c r="E11" s="15">
        <v>45674</v>
      </c>
      <c r="F11" s="16">
        <v>751.52</v>
      </c>
      <c r="G11" s="16">
        <v>765.1</v>
      </c>
      <c r="H11" s="16">
        <v>741.98</v>
      </c>
      <c r="I11" s="16">
        <v>762.57</v>
      </c>
      <c r="J11" s="17">
        <v>14220339</v>
      </c>
      <c r="K11" s="17">
        <v>682299</v>
      </c>
      <c r="L11" s="14">
        <v>21.7</v>
      </c>
      <c r="M11" s="24">
        <f t="shared" si="0"/>
        <v>11.0500000000001</v>
      </c>
      <c r="N11" s="25">
        <f t="shared" si="1"/>
        <v>0.0147035341707474</v>
      </c>
    </row>
    <row r="12" spans="1:14">
      <c r="A12" s="20">
        <v>10</v>
      </c>
      <c r="B12" s="20" t="s">
        <v>38</v>
      </c>
      <c r="C12" s="20" t="s">
        <v>39</v>
      </c>
      <c r="D12" s="20" t="s">
        <v>40</v>
      </c>
      <c r="E12" s="21">
        <v>45676</v>
      </c>
      <c r="F12" s="22">
        <v>6817.37</v>
      </c>
      <c r="G12" s="22">
        <v>6915</v>
      </c>
      <c r="H12" s="22">
        <v>6730.8</v>
      </c>
      <c r="I12" s="22">
        <v>6864.59</v>
      </c>
      <c r="J12" s="23">
        <v>3576305</v>
      </c>
      <c r="K12" s="23">
        <v>423989</v>
      </c>
      <c r="L12" s="20">
        <v>45.1</v>
      </c>
      <c r="M12" s="24">
        <f t="shared" si="0"/>
        <v>47.2200000000003</v>
      </c>
      <c r="N12" s="25">
        <f t="shared" si="1"/>
        <v>0.00692642470630173</v>
      </c>
    </row>
    <row r="13" spans="1:14">
      <c r="A13" s="14">
        <v>11</v>
      </c>
      <c r="B13" s="14" t="s">
        <v>41</v>
      </c>
      <c r="C13" s="14" t="s">
        <v>42</v>
      </c>
      <c r="D13" s="14" t="s">
        <v>20</v>
      </c>
      <c r="E13" s="15">
        <v>45678</v>
      </c>
      <c r="F13" s="16">
        <v>492.44</v>
      </c>
      <c r="G13" s="16">
        <v>495.69</v>
      </c>
      <c r="H13" s="16">
        <v>488.56</v>
      </c>
      <c r="I13" s="16">
        <v>490.85</v>
      </c>
      <c r="J13" s="17">
        <v>4010279</v>
      </c>
      <c r="K13" s="17">
        <v>255651</v>
      </c>
      <c r="L13" s="14">
        <v>28.4</v>
      </c>
      <c r="M13" s="18">
        <f t="shared" si="0"/>
        <v>-1.58999999999997</v>
      </c>
      <c r="N13" s="19">
        <f t="shared" si="1"/>
        <v>-0.00322881975469088</v>
      </c>
    </row>
    <row r="14" spans="1:14">
      <c r="A14" s="20">
        <v>12</v>
      </c>
      <c r="B14" s="20" t="s">
        <v>43</v>
      </c>
      <c r="C14" s="20" t="s">
        <v>44</v>
      </c>
      <c r="D14" s="20" t="s">
        <v>45</v>
      </c>
      <c r="E14" s="21">
        <v>45680</v>
      </c>
      <c r="F14" s="22">
        <v>2726.52</v>
      </c>
      <c r="G14" s="22">
        <v>2794.27</v>
      </c>
      <c r="H14" s="22">
        <v>2671.61</v>
      </c>
      <c r="I14" s="22">
        <v>2694.6</v>
      </c>
      <c r="J14" s="23">
        <v>4270233</v>
      </c>
      <c r="K14" s="23">
        <v>257912</v>
      </c>
      <c r="L14" s="20">
        <v>50.7</v>
      </c>
      <c r="M14" s="18">
        <f t="shared" si="0"/>
        <v>-31.9200000000001</v>
      </c>
      <c r="N14" s="19">
        <f t="shared" si="1"/>
        <v>-0.0117072311958101</v>
      </c>
    </row>
    <row r="15" spans="1:14">
      <c r="A15" s="14">
        <v>13</v>
      </c>
      <c r="B15" s="14" t="s">
        <v>46</v>
      </c>
      <c r="C15" s="14" t="s">
        <v>47</v>
      </c>
      <c r="D15" s="14" t="s">
        <v>48</v>
      </c>
      <c r="E15" s="15">
        <v>45682</v>
      </c>
      <c r="F15" s="16">
        <v>11113.81</v>
      </c>
      <c r="G15" s="16">
        <v>11167.4</v>
      </c>
      <c r="H15" s="16">
        <v>10987.12</v>
      </c>
      <c r="I15" s="16">
        <v>11154.47</v>
      </c>
      <c r="J15" s="17">
        <v>1252032</v>
      </c>
      <c r="K15" s="17">
        <v>334634</v>
      </c>
      <c r="L15" s="14">
        <v>36.1</v>
      </c>
      <c r="M15" s="24">
        <f t="shared" si="0"/>
        <v>40.6599999999999</v>
      </c>
      <c r="N15" s="25">
        <f t="shared" si="1"/>
        <v>0.00365851134759366</v>
      </c>
    </row>
    <row r="16" spans="1:14">
      <c r="A16" s="20">
        <v>14</v>
      </c>
      <c r="B16" s="20" t="s">
        <v>49</v>
      </c>
      <c r="C16" s="20" t="s">
        <v>50</v>
      </c>
      <c r="D16" s="20" t="s">
        <v>51</v>
      </c>
      <c r="E16" s="21">
        <v>45684</v>
      </c>
      <c r="F16" s="22">
        <v>1553.77</v>
      </c>
      <c r="G16" s="22">
        <v>1582.58</v>
      </c>
      <c r="H16" s="22">
        <v>1539.94</v>
      </c>
      <c r="I16" s="22">
        <v>1544.87</v>
      </c>
      <c r="J16" s="23">
        <v>10397685</v>
      </c>
      <c r="K16" s="23">
        <v>371734</v>
      </c>
      <c r="L16" s="20">
        <v>58.2</v>
      </c>
      <c r="M16" s="18">
        <f t="shared" si="0"/>
        <v>-8.90000000000009</v>
      </c>
      <c r="N16" s="19">
        <f t="shared" si="1"/>
        <v>-0.00572800350116175</v>
      </c>
    </row>
    <row r="17" spans="1:14">
      <c r="A17" s="14">
        <v>15</v>
      </c>
      <c r="B17" s="14" t="s">
        <v>52</v>
      </c>
      <c r="C17" s="14" t="s">
        <v>53</v>
      </c>
      <c r="D17" s="14" t="s">
        <v>54</v>
      </c>
      <c r="E17" s="15">
        <v>45686</v>
      </c>
      <c r="F17" s="16">
        <v>3473.55</v>
      </c>
      <c r="G17" s="16">
        <v>3511.12</v>
      </c>
      <c r="H17" s="16">
        <v>3389.53</v>
      </c>
      <c r="I17" s="16">
        <v>3400.13</v>
      </c>
      <c r="J17" s="17">
        <v>13144580</v>
      </c>
      <c r="K17" s="17">
        <v>302126</v>
      </c>
      <c r="L17" s="14">
        <v>39</v>
      </c>
      <c r="M17" s="18">
        <f t="shared" si="0"/>
        <v>-73.4200000000001</v>
      </c>
      <c r="N17" s="19">
        <f t="shared" si="1"/>
        <v>-0.0211368772581365</v>
      </c>
    </row>
    <row r="18" spans="1:14">
      <c r="A18" s="20">
        <v>16</v>
      </c>
      <c r="B18" s="20" t="s">
        <v>55</v>
      </c>
      <c r="C18" s="20" t="s">
        <v>56</v>
      </c>
      <c r="D18" s="20" t="s">
        <v>23</v>
      </c>
      <c r="E18" s="21">
        <v>45688</v>
      </c>
      <c r="F18" s="22">
        <v>1762.57</v>
      </c>
      <c r="G18" s="22">
        <v>1764.09</v>
      </c>
      <c r="H18" s="22">
        <v>1738.25</v>
      </c>
      <c r="I18" s="22">
        <v>1763.59</v>
      </c>
      <c r="J18" s="23">
        <v>2438606</v>
      </c>
      <c r="K18" s="23">
        <v>350702</v>
      </c>
      <c r="L18" s="20">
        <v>26</v>
      </c>
      <c r="M18" s="24">
        <f t="shared" si="0"/>
        <v>1.01999999999998</v>
      </c>
      <c r="N18" s="25">
        <f t="shared" si="1"/>
        <v>0.000578700420408825</v>
      </c>
    </row>
    <row r="19" spans="1:14">
      <c r="A19" s="14">
        <v>17</v>
      </c>
      <c r="B19" s="14" t="s">
        <v>57</v>
      </c>
      <c r="C19" s="14" t="s">
        <v>58</v>
      </c>
      <c r="D19" s="14" t="s">
        <v>35</v>
      </c>
      <c r="E19" s="15">
        <v>45690</v>
      </c>
      <c r="F19" s="16">
        <v>1277.47</v>
      </c>
      <c r="G19" s="16">
        <v>1291.23</v>
      </c>
      <c r="H19" s="16">
        <v>1277.32</v>
      </c>
      <c r="I19" s="16">
        <v>1280.28</v>
      </c>
      <c r="J19" s="17">
        <v>5266548</v>
      </c>
      <c r="K19" s="17">
        <v>276540</v>
      </c>
      <c r="L19" s="14">
        <v>38.2</v>
      </c>
      <c r="M19" s="24">
        <f t="shared" si="0"/>
        <v>2.80999999999995</v>
      </c>
      <c r="N19" s="25">
        <f t="shared" si="1"/>
        <v>0.00219966026599446</v>
      </c>
    </row>
    <row r="20" spans="1:14">
      <c r="A20" s="20">
        <v>18</v>
      </c>
      <c r="B20" s="20" t="s">
        <v>59</v>
      </c>
      <c r="C20" s="20" t="s">
        <v>60</v>
      </c>
      <c r="D20" s="20" t="s">
        <v>61</v>
      </c>
      <c r="E20" s="21">
        <v>45692</v>
      </c>
      <c r="F20" s="22">
        <v>315.34</v>
      </c>
      <c r="G20" s="22">
        <v>317.11</v>
      </c>
      <c r="H20" s="22">
        <v>310.78</v>
      </c>
      <c r="I20" s="22">
        <v>313.34</v>
      </c>
      <c r="J20" s="23">
        <v>8252994</v>
      </c>
      <c r="K20" s="23">
        <v>290819</v>
      </c>
      <c r="L20" s="20">
        <v>30.8</v>
      </c>
      <c r="M20" s="18">
        <f t="shared" si="0"/>
        <v>-2</v>
      </c>
      <c r="N20" s="19">
        <f t="shared" si="1"/>
        <v>-0.00634236062662523</v>
      </c>
    </row>
    <row r="21" spans="1:14">
      <c r="A21" s="14">
        <v>19</v>
      </c>
      <c r="B21" s="14" t="s">
        <v>62</v>
      </c>
      <c r="C21" s="14" t="s">
        <v>63</v>
      </c>
      <c r="D21" s="14" t="s">
        <v>61</v>
      </c>
      <c r="E21" s="15">
        <v>45694</v>
      </c>
      <c r="F21" s="16">
        <v>365.21</v>
      </c>
      <c r="G21" s="16">
        <v>367.11</v>
      </c>
      <c r="H21" s="16">
        <v>356.25</v>
      </c>
      <c r="I21" s="16">
        <v>357.92</v>
      </c>
      <c r="J21" s="17">
        <v>5730979</v>
      </c>
      <c r="K21" s="17">
        <v>346984</v>
      </c>
      <c r="L21" s="14">
        <v>42.6</v>
      </c>
      <c r="M21" s="18">
        <f t="shared" si="0"/>
        <v>-7.28999999999996</v>
      </c>
      <c r="N21" s="19">
        <f t="shared" si="1"/>
        <v>-0.0199611182607266</v>
      </c>
    </row>
    <row r="22" spans="1:14">
      <c r="A22" s="20">
        <v>20</v>
      </c>
      <c r="B22" s="20" t="s">
        <v>64</v>
      </c>
      <c r="C22" s="20" t="s">
        <v>65</v>
      </c>
      <c r="D22" s="20" t="s">
        <v>66</v>
      </c>
      <c r="E22" s="21">
        <v>45696</v>
      </c>
      <c r="F22" s="22">
        <v>1643.97</v>
      </c>
      <c r="G22" s="22">
        <v>1665.88</v>
      </c>
      <c r="H22" s="22">
        <v>1632.18</v>
      </c>
      <c r="I22" s="22">
        <v>1632.89</v>
      </c>
      <c r="J22" s="23">
        <v>6534078</v>
      </c>
      <c r="K22" s="23">
        <v>913429</v>
      </c>
      <c r="L22" s="20">
        <v>30.9</v>
      </c>
      <c r="M22" s="18">
        <f t="shared" si="0"/>
        <v>-11.0799999999999</v>
      </c>
      <c r="N22" s="19">
        <f t="shared" si="1"/>
        <v>-0.00673978235612568</v>
      </c>
    </row>
    <row r="23" spans="1:14">
      <c r="A23" s="14">
        <v>21</v>
      </c>
      <c r="B23" s="14" t="s">
        <v>15</v>
      </c>
      <c r="C23" s="14" t="s">
        <v>16</v>
      </c>
      <c r="D23" s="14" t="s">
        <v>17</v>
      </c>
      <c r="E23" s="15">
        <v>45698</v>
      </c>
      <c r="F23" s="16">
        <v>2849.89</v>
      </c>
      <c r="G23" s="16">
        <v>2870.12</v>
      </c>
      <c r="H23" s="16">
        <v>2819.13</v>
      </c>
      <c r="I23" s="16">
        <v>2850.11</v>
      </c>
      <c r="J23" s="17">
        <v>12262888</v>
      </c>
      <c r="K23" s="17">
        <v>2544741</v>
      </c>
      <c r="L23" s="14">
        <v>26</v>
      </c>
      <c r="M23" s="24">
        <f t="shared" si="0"/>
        <v>0.220000000000255</v>
      </c>
      <c r="N23" s="25">
        <f t="shared" si="1"/>
        <v>7.71959619494979e-5</v>
      </c>
    </row>
    <row r="24" spans="1:14">
      <c r="A24" s="20">
        <v>22</v>
      </c>
      <c r="B24" s="20" t="s">
        <v>18</v>
      </c>
      <c r="C24" s="20" t="s">
        <v>19</v>
      </c>
      <c r="D24" s="20" t="s">
        <v>20</v>
      </c>
      <c r="E24" s="21">
        <v>45700</v>
      </c>
      <c r="F24" s="22">
        <v>3846.69</v>
      </c>
      <c r="G24" s="22">
        <v>3932.9</v>
      </c>
      <c r="H24" s="22">
        <v>3829.77</v>
      </c>
      <c r="I24" s="22">
        <v>3873.62</v>
      </c>
      <c r="J24" s="23">
        <v>10392903</v>
      </c>
      <c r="K24" s="23">
        <v>1390530</v>
      </c>
      <c r="L24" s="20">
        <v>63</v>
      </c>
      <c r="M24" s="24">
        <f t="shared" si="0"/>
        <v>26.9299999999998</v>
      </c>
      <c r="N24" s="25">
        <f t="shared" si="1"/>
        <v>0.00700082408512249</v>
      </c>
    </row>
    <row r="25" spans="1:14">
      <c r="A25" s="14">
        <v>23</v>
      </c>
      <c r="B25" s="14" t="s">
        <v>21</v>
      </c>
      <c r="C25" s="14" t="s">
        <v>22</v>
      </c>
      <c r="D25" s="14" t="s">
        <v>23</v>
      </c>
      <c r="E25" s="15">
        <v>45702</v>
      </c>
      <c r="F25" s="16">
        <v>1662.12</v>
      </c>
      <c r="G25" s="16">
        <v>1673.83</v>
      </c>
      <c r="H25" s="16">
        <v>1643.03</v>
      </c>
      <c r="I25" s="16">
        <v>1649.12</v>
      </c>
      <c r="J25" s="17">
        <v>14105109</v>
      </c>
      <c r="K25" s="17">
        <v>1249333</v>
      </c>
      <c r="L25" s="14">
        <v>47.8</v>
      </c>
      <c r="M25" s="18">
        <f t="shared" si="0"/>
        <v>-13</v>
      </c>
      <c r="N25" s="19">
        <f t="shared" si="1"/>
        <v>-0.00782133660626188</v>
      </c>
    </row>
    <row r="26" spans="1:14">
      <c r="A26" s="20">
        <v>24</v>
      </c>
      <c r="B26" s="20" t="s">
        <v>24</v>
      </c>
      <c r="C26" s="20" t="s">
        <v>25</v>
      </c>
      <c r="D26" s="20" t="s">
        <v>20</v>
      </c>
      <c r="E26" s="21">
        <v>45704</v>
      </c>
      <c r="F26" s="22">
        <v>1484.91</v>
      </c>
      <c r="G26" s="22">
        <v>1485.16</v>
      </c>
      <c r="H26" s="22">
        <v>1452.4</v>
      </c>
      <c r="I26" s="22">
        <v>1454.47</v>
      </c>
      <c r="J26" s="23">
        <v>11666813</v>
      </c>
      <c r="K26" s="23">
        <v>601850</v>
      </c>
      <c r="L26" s="20">
        <v>41.2</v>
      </c>
      <c r="M26" s="18">
        <f t="shared" si="0"/>
        <v>-30.4400000000001</v>
      </c>
      <c r="N26" s="19">
        <f t="shared" si="1"/>
        <v>-0.0204995588958254</v>
      </c>
    </row>
    <row r="27" spans="1:14">
      <c r="A27" s="14">
        <v>25</v>
      </c>
      <c r="B27" s="14" t="s">
        <v>26</v>
      </c>
      <c r="C27" s="14" t="s">
        <v>27</v>
      </c>
      <c r="D27" s="14" t="s">
        <v>23</v>
      </c>
      <c r="E27" s="15">
        <v>45706</v>
      </c>
      <c r="F27" s="16">
        <v>1060.77</v>
      </c>
      <c r="G27" s="16">
        <v>1079.84</v>
      </c>
      <c r="H27" s="16">
        <v>1042.21</v>
      </c>
      <c r="I27" s="16">
        <v>1072.83</v>
      </c>
      <c r="J27" s="17">
        <v>8901792</v>
      </c>
      <c r="K27" s="17">
        <v>756090</v>
      </c>
      <c r="L27" s="14">
        <v>30.4</v>
      </c>
      <c r="M27" s="24">
        <f t="shared" si="0"/>
        <v>12.0599999999999</v>
      </c>
      <c r="N27" s="25">
        <f t="shared" si="1"/>
        <v>0.0113690998048587</v>
      </c>
    </row>
    <row r="28" spans="1:14">
      <c r="A28" s="20">
        <v>26</v>
      </c>
      <c r="B28" s="20" t="s">
        <v>28</v>
      </c>
      <c r="C28" s="20" t="s">
        <v>29</v>
      </c>
      <c r="D28" s="20" t="s">
        <v>30</v>
      </c>
      <c r="E28" s="21">
        <v>45708</v>
      </c>
      <c r="F28" s="22">
        <v>2403.68</v>
      </c>
      <c r="G28" s="22">
        <v>2421.05</v>
      </c>
      <c r="H28" s="22">
        <v>2355.2</v>
      </c>
      <c r="I28" s="22">
        <v>2417.36</v>
      </c>
      <c r="J28" s="23">
        <v>2906602</v>
      </c>
      <c r="K28" s="23">
        <v>564051</v>
      </c>
      <c r="L28" s="20">
        <v>40</v>
      </c>
      <c r="M28" s="24">
        <f t="shared" si="0"/>
        <v>13.6800000000003</v>
      </c>
      <c r="N28" s="25">
        <f t="shared" si="1"/>
        <v>0.0056912733808162</v>
      </c>
    </row>
    <row r="29" spans="1:14">
      <c r="A29" s="14">
        <v>27</v>
      </c>
      <c r="B29" s="14" t="s">
        <v>31</v>
      </c>
      <c r="C29" s="14" t="s">
        <v>32</v>
      </c>
      <c r="D29" s="14" t="s">
        <v>30</v>
      </c>
      <c r="E29" s="15">
        <v>45710</v>
      </c>
      <c r="F29" s="16">
        <v>441.48</v>
      </c>
      <c r="G29" s="16">
        <v>452.24</v>
      </c>
      <c r="H29" s="16">
        <v>435.57</v>
      </c>
      <c r="I29" s="16">
        <v>442.11</v>
      </c>
      <c r="J29" s="17">
        <v>13226114</v>
      </c>
      <c r="K29" s="17">
        <v>550181</v>
      </c>
      <c r="L29" s="14">
        <v>28.7</v>
      </c>
      <c r="M29" s="24">
        <f t="shared" si="0"/>
        <v>0.629999999999995</v>
      </c>
      <c r="N29" s="25">
        <f t="shared" si="1"/>
        <v>0.0014270182114705</v>
      </c>
    </row>
    <row r="30" spans="1:14">
      <c r="A30" s="20">
        <v>28</v>
      </c>
      <c r="B30" s="20" t="s">
        <v>33</v>
      </c>
      <c r="C30" s="20" t="s">
        <v>34</v>
      </c>
      <c r="D30" s="20" t="s">
        <v>35</v>
      </c>
      <c r="E30" s="21">
        <v>45712</v>
      </c>
      <c r="F30" s="22">
        <v>3383.04</v>
      </c>
      <c r="G30" s="22">
        <v>3459.39</v>
      </c>
      <c r="H30" s="22">
        <v>3333.53</v>
      </c>
      <c r="I30" s="22">
        <v>3389.13</v>
      </c>
      <c r="J30" s="23">
        <v>10702685</v>
      </c>
      <c r="K30" s="23">
        <v>478465</v>
      </c>
      <c r="L30" s="20">
        <v>49.5</v>
      </c>
      <c r="M30" s="24">
        <f t="shared" si="0"/>
        <v>6.09000000000015</v>
      </c>
      <c r="N30" s="25">
        <f t="shared" si="1"/>
        <v>0.00180015607264477</v>
      </c>
    </row>
    <row r="31" spans="1:14">
      <c r="A31" s="14">
        <v>29</v>
      </c>
      <c r="B31" s="14" t="s">
        <v>36</v>
      </c>
      <c r="C31" s="14" t="s">
        <v>37</v>
      </c>
      <c r="D31" s="14" t="s">
        <v>23</v>
      </c>
      <c r="E31" s="15">
        <v>45714</v>
      </c>
      <c r="F31" s="16">
        <v>769.96</v>
      </c>
      <c r="G31" s="16">
        <v>776.84</v>
      </c>
      <c r="H31" s="16">
        <v>765.39</v>
      </c>
      <c r="I31" s="16">
        <v>766.22</v>
      </c>
      <c r="J31" s="17">
        <v>11875410</v>
      </c>
      <c r="K31" s="17">
        <v>685565</v>
      </c>
      <c r="L31" s="14">
        <v>52.4</v>
      </c>
      <c r="M31" s="18">
        <f t="shared" si="0"/>
        <v>-3.74000000000001</v>
      </c>
      <c r="N31" s="19">
        <f t="shared" si="1"/>
        <v>-0.0048573951893605</v>
      </c>
    </row>
    <row r="32" spans="1:14">
      <c r="A32" s="20">
        <v>30</v>
      </c>
      <c r="B32" s="20" t="s">
        <v>38</v>
      </c>
      <c r="C32" s="20" t="s">
        <v>39</v>
      </c>
      <c r="D32" s="20" t="s">
        <v>40</v>
      </c>
      <c r="E32" s="21">
        <v>45716</v>
      </c>
      <c r="F32" s="22">
        <v>6926.95</v>
      </c>
      <c r="G32" s="22">
        <v>6945.88</v>
      </c>
      <c r="H32" s="22">
        <v>6813.53</v>
      </c>
      <c r="I32" s="22">
        <v>6893.62</v>
      </c>
      <c r="J32" s="23">
        <v>12762272</v>
      </c>
      <c r="K32" s="23">
        <v>425782</v>
      </c>
      <c r="L32" s="20">
        <v>15.2</v>
      </c>
      <c r="M32" s="18">
        <f t="shared" si="0"/>
        <v>-33.3299999999999</v>
      </c>
      <c r="N32" s="19">
        <f t="shared" si="1"/>
        <v>-0.00481164148723463</v>
      </c>
    </row>
    <row r="33" spans="1:14">
      <c r="A33" s="14">
        <v>31</v>
      </c>
      <c r="B33" s="14" t="s">
        <v>41</v>
      </c>
      <c r="C33" s="14" t="s">
        <v>42</v>
      </c>
      <c r="D33" s="14" t="s">
        <v>20</v>
      </c>
      <c r="E33" s="15">
        <v>45718</v>
      </c>
      <c r="F33" s="16">
        <v>480.19</v>
      </c>
      <c r="G33" s="16">
        <v>490.16</v>
      </c>
      <c r="H33" s="16">
        <v>470.02</v>
      </c>
      <c r="I33" s="16">
        <v>485.45</v>
      </c>
      <c r="J33" s="17">
        <v>8491722</v>
      </c>
      <c r="K33" s="17">
        <v>252839</v>
      </c>
      <c r="L33" s="14">
        <v>29</v>
      </c>
      <c r="M33" s="24">
        <f t="shared" si="0"/>
        <v>5.25999999999999</v>
      </c>
      <c r="N33" s="25">
        <f t="shared" si="1"/>
        <v>0.0109539973760386</v>
      </c>
    </row>
    <row r="34" spans="1:14">
      <c r="A34" s="20">
        <v>32</v>
      </c>
      <c r="B34" s="20" t="s">
        <v>43</v>
      </c>
      <c r="C34" s="20" t="s">
        <v>44</v>
      </c>
      <c r="D34" s="20" t="s">
        <v>45</v>
      </c>
      <c r="E34" s="21">
        <v>45720</v>
      </c>
      <c r="F34" s="22">
        <v>2790.79</v>
      </c>
      <c r="G34" s="22">
        <v>2853.84</v>
      </c>
      <c r="H34" s="22">
        <v>2782.74</v>
      </c>
      <c r="I34" s="22">
        <v>2843.49</v>
      </c>
      <c r="J34" s="23">
        <v>5574150</v>
      </c>
      <c r="K34" s="23">
        <v>272163</v>
      </c>
      <c r="L34" s="20">
        <v>23.7</v>
      </c>
      <c r="M34" s="24">
        <f t="shared" si="0"/>
        <v>52.6999999999998</v>
      </c>
      <c r="N34" s="25">
        <f t="shared" si="1"/>
        <v>0.0188835419361542</v>
      </c>
    </row>
    <row r="35" spans="1:14">
      <c r="A35" s="14">
        <v>33</v>
      </c>
      <c r="B35" s="14" t="s">
        <v>46</v>
      </c>
      <c r="C35" s="14" t="s">
        <v>47</v>
      </c>
      <c r="D35" s="14" t="s">
        <v>48</v>
      </c>
      <c r="E35" s="15">
        <v>45722</v>
      </c>
      <c r="F35" s="16">
        <v>10940.35</v>
      </c>
      <c r="G35" s="16">
        <v>10975.19</v>
      </c>
      <c r="H35" s="16">
        <v>10882.44</v>
      </c>
      <c r="I35" s="16">
        <v>10891.88</v>
      </c>
      <c r="J35" s="17">
        <v>9405688</v>
      </c>
      <c r="K35" s="17">
        <v>326756</v>
      </c>
      <c r="L35" s="14">
        <v>28.8</v>
      </c>
      <c r="M35" s="18">
        <f t="shared" si="0"/>
        <v>-48.4700000000012</v>
      </c>
      <c r="N35" s="19">
        <f t="shared" si="1"/>
        <v>-0.00443038842450206</v>
      </c>
    </row>
    <row r="36" spans="1:14">
      <c r="A36" s="20">
        <v>34</v>
      </c>
      <c r="B36" s="20" t="s">
        <v>49</v>
      </c>
      <c r="C36" s="20" t="s">
        <v>50</v>
      </c>
      <c r="D36" s="20" t="s">
        <v>51</v>
      </c>
      <c r="E36" s="21">
        <v>45724</v>
      </c>
      <c r="F36" s="22">
        <v>1617.99</v>
      </c>
      <c r="G36" s="22">
        <v>1646.75</v>
      </c>
      <c r="H36" s="22">
        <v>1595.01</v>
      </c>
      <c r="I36" s="22">
        <v>1599.01</v>
      </c>
      <c r="J36" s="23">
        <v>5415039</v>
      </c>
      <c r="K36" s="23">
        <v>384762</v>
      </c>
      <c r="L36" s="20">
        <v>18.2</v>
      </c>
      <c r="M36" s="18">
        <f t="shared" si="0"/>
        <v>-18.98</v>
      </c>
      <c r="N36" s="19">
        <f t="shared" si="1"/>
        <v>-0.0117306040210385</v>
      </c>
    </row>
    <row r="37" spans="1:14">
      <c r="A37" s="14">
        <v>35</v>
      </c>
      <c r="B37" s="14" t="s">
        <v>52</v>
      </c>
      <c r="C37" s="14" t="s">
        <v>53</v>
      </c>
      <c r="D37" s="14" t="s">
        <v>54</v>
      </c>
      <c r="E37" s="15">
        <v>45726</v>
      </c>
      <c r="F37" s="16">
        <v>3521.18</v>
      </c>
      <c r="G37" s="16">
        <v>3601.09</v>
      </c>
      <c r="H37" s="16">
        <v>3467.08</v>
      </c>
      <c r="I37" s="16">
        <v>3475.97</v>
      </c>
      <c r="J37" s="17">
        <v>9585915</v>
      </c>
      <c r="K37" s="17">
        <v>308865</v>
      </c>
      <c r="L37" s="14">
        <v>43.2</v>
      </c>
      <c r="M37" s="18">
        <f t="shared" si="0"/>
        <v>-45.21</v>
      </c>
      <c r="N37" s="19">
        <f t="shared" si="1"/>
        <v>-0.0128394458675785</v>
      </c>
    </row>
    <row r="38" spans="1:14">
      <c r="A38" s="20">
        <v>36</v>
      </c>
      <c r="B38" s="20" t="s">
        <v>55</v>
      </c>
      <c r="C38" s="20" t="s">
        <v>56</v>
      </c>
      <c r="D38" s="20" t="s">
        <v>23</v>
      </c>
      <c r="E38" s="21">
        <v>45728</v>
      </c>
      <c r="F38" s="22">
        <v>1720.71</v>
      </c>
      <c r="G38" s="22">
        <v>1731.69</v>
      </c>
      <c r="H38" s="22">
        <v>1688.8</v>
      </c>
      <c r="I38" s="22">
        <v>1692.45</v>
      </c>
      <c r="J38" s="23">
        <v>3526273</v>
      </c>
      <c r="K38" s="23">
        <v>336556</v>
      </c>
      <c r="L38" s="20">
        <v>59.7</v>
      </c>
      <c r="M38" s="18">
        <f t="shared" si="0"/>
        <v>-28.26</v>
      </c>
      <c r="N38" s="19">
        <f t="shared" si="1"/>
        <v>-0.0164234531094722</v>
      </c>
    </row>
    <row r="39" spans="1:14">
      <c r="A39" s="14">
        <v>37</v>
      </c>
      <c r="B39" s="14" t="s">
        <v>57</v>
      </c>
      <c r="C39" s="14" t="s">
        <v>58</v>
      </c>
      <c r="D39" s="14" t="s">
        <v>35</v>
      </c>
      <c r="E39" s="15">
        <v>45730</v>
      </c>
      <c r="F39" s="16">
        <v>1232.33</v>
      </c>
      <c r="G39" s="16">
        <v>1249.15</v>
      </c>
      <c r="H39" s="16">
        <v>1225.15</v>
      </c>
      <c r="I39" s="16">
        <v>1228.64</v>
      </c>
      <c r="J39" s="17">
        <v>13501672</v>
      </c>
      <c r="K39" s="17">
        <v>265386</v>
      </c>
      <c r="L39" s="14">
        <v>32.3</v>
      </c>
      <c r="M39" s="18">
        <f t="shared" si="0"/>
        <v>-3.68999999999983</v>
      </c>
      <c r="N39" s="19">
        <f t="shared" si="1"/>
        <v>-0.00299432781803561</v>
      </c>
    </row>
    <row r="40" spans="1:14">
      <c r="A40" s="20">
        <v>38</v>
      </c>
      <c r="B40" s="20" t="s">
        <v>59</v>
      </c>
      <c r="C40" s="20" t="s">
        <v>60</v>
      </c>
      <c r="D40" s="20" t="s">
        <v>61</v>
      </c>
      <c r="E40" s="21">
        <v>45732</v>
      </c>
      <c r="F40" s="22">
        <v>326.23</v>
      </c>
      <c r="G40" s="22">
        <v>327.06</v>
      </c>
      <c r="H40" s="22">
        <v>325.25</v>
      </c>
      <c r="I40" s="22">
        <v>325.25</v>
      </c>
      <c r="J40" s="23">
        <v>14521808</v>
      </c>
      <c r="K40" s="23">
        <v>301873</v>
      </c>
      <c r="L40" s="20">
        <v>16.8</v>
      </c>
      <c r="M40" s="18">
        <f t="shared" si="0"/>
        <v>-0.980000000000018</v>
      </c>
      <c r="N40" s="19">
        <f t="shared" si="1"/>
        <v>-0.00300401557183588</v>
      </c>
    </row>
    <row r="41" spans="1:14">
      <c r="A41" s="14">
        <v>39</v>
      </c>
      <c r="B41" s="14" t="s">
        <v>62</v>
      </c>
      <c r="C41" s="14" t="s">
        <v>63</v>
      </c>
      <c r="D41" s="14" t="s">
        <v>61</v>
      </c>
      <c r="E41" s="15">
        <v>45734</v>
      </c>
      <c r="F41" s="16">
        <v>366.21</v>
      </c>
      <c r="G41" s="16">
        <v>369.71</v>
      </c>
      <c r="H41" s="16">
        <v>363.6</v>
      </c>
      <c r="I41" s="16">
        <v>365.84</v>
      </c>
      <c r="J41" s="17">
        <v>5410087</v>
      </c>
      <c r="K41" s="17">
        <v>354662</v>
      </c>
      <c r="L41" s="14">
        <v>44.4</v>
      </c>
      <c r="M41" s="18">
        <f t="shared" si="0"/>
        <v>-0.370000000000005</v>
      </c>
      <c r="N41" s="19">
        <f t="shared" si="1"/>
        <v>-0.00101034925316077</v>
      </c>
    </row>
    <row r="42" spans="1:14">
      <c r="A42" s="20">
        <v>40</v>
      </c>
      <c r="B42" s="20" t="s">
        <v>64</v>
      </c>
      <c r="C42" s="20" t="s">
        <v>65</v>
      </c>
      <c r="D42" s="20" t="s">
        <v>66</v>
      </c>
      <c r="E42" s="21">
        <v>45736</v>
      </c>
      <c r="F42" s="22">
        <v>1637.04</v>
      </c>
      <c r="G42" s="22">
        <v>1677.16</v>
      </c>
      <c r="H42" s="22">
        <v>1625.37</v>
      </c>
      <c r="I42" s="22">
        <v>1664.64</v>
      </c>
      <c r="J42" s="23">
        <v>1807931</v>
      </c>
      <c r="K42" s="23">
        <v>931190</v>
      </c>
      <c r="L42" s="20">
        <v>17.7</v>
      </c>
      <c r="M42" s="24">
        <f t="shared" si="0"/>
        <v>27.6000000000001</v>
      </c>
      <c r="N42" s="25">
        <f t="shared" si="1"/>
        <v>0.0168596979914969</v>
      </c>
    </row>
    <row r="43" spans="1:14">
      <c r="A43" s="14">
        <v>41</v>
      </c>
      <c r="B43" s="14" t="s">
        <v>15</v>
      </c>
      <c r="C43" s="14" t="s">
        <v>16</v>
      </c>
      <c r="D43" s="14" t="s">
        <v>17</v>
      </c>
      <c r="E43" s="15">
        <v>45738</v>
      </c>
      <c r="F43" s="16">
        <v>2765.66</v>
      </c>
      <c r="G43" s="16">
        <v>2774.73</v>
      </c>
      <c r="H43" s="16">
        <v>2704.25</v>
      </c>
      <c r="I43" s="16">
        <v>2708.32</v>
      </c>
      <c r="J43" s="17">
        <v>4007410</v>
      </c>
      <c r="K43" s="17">
        <v>2418143</v>
      </c>
      <c r="L43" s="14">
        <v>48.9</v>
      </c>
      <c r="M43" s="18">
        <f t="shared" si="0"/>
        <v>-57.3399999999997</v>
      </c>
      <c r="N43" s="19">
        <f t="shared" si="1"/>
        <v>-0.0207328449628659</v>
      </c>
    </row>
    <row r="44" spans="1:14">
      <c r="A44" s="20">
        <v>42</v>
      </c>
      <c r="B44" s="20" t="s">
        <v>18</v>
      </c>
      <c r="C44" s="20" t="s">
        <v>19</v>
      </c>
      <c r="D44" s="20" t="s">
        <v>20</v>
      </c>
      <c r="E44" s="21">
        <v>45740</v>
      </c>
      <c r="F44" s="22">
        <v>3934.71</v>
      </c>
      <c r="G44" s="22">
        <v>3958.85</v>
      </c>
      <c r="H44" s="22">
        <v>3839.24</v>
      </c>
      <c r="I44" s="22">
        <v>3849.9</v>
      </c>
      <c r="J44" s="23">
        <v>5892313</v>
      </c>
      <c r="K44" s="23">
        <v>1382015</v>
      </c>
      <c r="L44" s="20">
        <v>53.5</v>
      </c>
      <c r="M44" s="18">
        <f t="shared" si="0"/>
        <v>-84.8099999999999</v>
      </c>
      <c r="N44" s="19">
        <f t="shared" si="1"/>
        <v>-0.0215543203946415</v>
      </c>
    </row>
    <row r="45" spans="1:14">
      <c r="A45" s="14">
        <v>43</v>
      </c>
      <c r="B45" s="14" t="s">
        <v>21</v>
      </c>
      <c r="C45" s="14" t="s">
        <v>22</v>
      </c>
      <c r="D45" s="14" t="s">
        <v>23</v>
      </c>
      <c r="E45" s="15">
        <v>45742</v>
      </c>
      <c r="F45" s="16">
        <v>1633.28</v>
      </c>
      <c r="G45" s="16">
        <v>1644.92</v>
      </c>
      <c r="H45" s="16">
        <v>1627.13</v>
      </c>
      <c r="I45" s="16">
        <v>1641.61</v>
      </c>
      <c r="J45" s="17">
        <v>8382535</v>
      </c>
      <c r="K45" s="17">
        <v>1243644</v>
      </c>
      <c r="L45" s="14">
        <v>39.2</v>
      </c>
      <c r="M45" s="24">
        <f t="shared" si="0"/>
        <v>8.32999999999993</v>
      </c>
      <c r="N45" s="25">
        <f t="shared" si="1"/>
        <v>0.00510016653605011</v>
      </c>
    </row>
    <row r="46" spans="1:14">
      <c r="A46" s="20">
        <v>44</v>
      </c>
      <c r="B46" s="20" t="s">
        <v>24</v>
      </c>
      <c r="C46" s="20" t="s">
        <v>25</v>
      </c>
      <c r="D46" s="20" t="s">
        <v>20</v>
      </c>
      <c r="E46" s="21">
        <v>45744</v>
      </c>
      <c r="F46" s="22">
        <v>1473.41</v>
      </c>
      <c r="G46" s="22">
        <v>1505.19</v>
      </c>
      <c r="H46" s="22">
        <v>1448.56</v>
      </c>
      <c r="I46" s="22">
        <v>1495.99</v>
      </c>
      <c r="J46" s="23">
        <v>2057827</v>
      </c>
      <c r="K46" s="23">
        <v>619030</v>
      </c>
      <c r="L46" s="20">
        <v>19.7</v>
      </c>
      <c r="M46" s="24">
        <f t="shared" si="0"/>
        <v>22.5799999999999</v>
      </c>
      <c r="N46" s="25">
        <f t="shared" si="1"/>
        <v>0.0153249944007438</v>
      </c>
    </row>
    <row r="47" spans="1:14">
      <c r="A47" s="14">
        <v>45</v>
      </c>
      <c r="B47" s="14" t="s">
        <v>26</v>
      </c>
      <c r="C47" s="14" t="s">
        <v>27</v>
      </c>
      <c r="D47" s="14" t="s">
        <v>23</v>
      </c>
      <c r="E47" s="15">
        <v>45746</v>
      </c>
      <c r="F47" s="16">
        <v>1026.68</v>
      </c>
      <c r="G47" s="16">
        <v>1029.52</v>
      </c>
      <c r="H47" s="16">
        <v>1020.92</v>
      </c>
      <c r="I47" s="16">
        <v>1027</v>
      </c>
      <c r="J47" s="17">
        <v>3944448</v>
      </c>
      <c r="K47" s="17">
        <v>723790</v>
      </c>
      <c r="L47" s="14">
        <v>42.5</v>
      </c>
      <c r="M47" s="24">
        <f t="shared" si="0"/>
        <v>0.319999999999936</v>
      </c>
      <c r="N47" s="25">
        <f t="shared" si="1"/>
        <v>0.000311684263840667</v>
      </c>
    </row>
    <row r="48" spans="1:14">
      <c r="A48" s="20">
        <v>46</v>
      </c>
      <c r="B48" s="20" t="s">
        <v>28</v>
      </c>
      <c r="C48" s="20" t="s">
        <v>29</v>
      </c>
      <c r="D48" s="20" t="s">
        <v>30</v>
      </c>
      <c r="E48" s="21">
        <v>45748</v>
      </c>
      <c r="F48" s="22">
        <v>2392.22</v>
      </c>
      <c r="G48" s="22">
        <v>2413.35</v>
      </c>
      <c r="H48" s="22">
        <v>2390.22</v>
      </c>
      <c r="I48" s="22">
        <v>2409.28</v>
      </c>
      <c r="J48" s="23">
        <v>8257475</v>
      </c>
      <c r="K48" s="23">
        <v>562165</v>
      </c>
      <c r="L48" s="20">
        <v>61.3</v>
      </c>
      <c r="M48" s="24">
        <f t="shared" si="0"/>
        <v>17.0600000000004</v>
      </c>
      <c r="N48" s="25">
        <f t="shared" si="1"/>
        <v>0.00713145112071649</v>
      </c>
    </row>
    <row r="49" spans="1:14">
      <c r="A49" s="14">
        <v>47</v>
      </c>
      <c r="B49" s="14" t="s">
        <v>31</v>
      </c>
      <c r="C49" s="14" t="s">
        <v>32</v>
      </c>
      <c r="D49" s="14" t="s">
        <v>30</v>
      </c>
      <c r="E49" s="15">
        <v>45750</v>
      </c>
      <c r="F49" s="16">
        <v>459.99</v>
      </c>
      <c r="G49" s="16">
        <v>469.62</v>
      </c>
      <c r="H49" s="16">
        <v>457.97</v>
      </c>
      <c r="I49" s="16">
        <v>460.29</v>
      </c>
      <c r="J49" s="17">
        <v>12532023</v>
      </c>
      <c r="K49" s="17">
        <v>572805</v>
      </c>
      <c r="L49" s="14">
        <v>49.3</v>
      </c>
      <c r="M49" s="24">
        <f t="shared" si="0"/>
        <v>0.300000000000011</v>
      </c>
      <c r="N49" s="25">
        <f t="shared" si="1"/>
        <v>0.000652188091045482</v>
      </c>
    </row>
    <row r="50" spans="1:14">
      <c r="A50" s="20">
        <v>48</v>
      </c>
      <c r="B50" s="20" t="s">
        <v>33</v>
      </c>
      <c r="C50" s="20" t="s">
        <v>34</v>
      </c>
      <c r="D50" s="20" t="s">
        <v>35</v>
      </c>
      <c r="E50" s="21">
        <v>45752</v>
      </c>
      <c r="F50" s="22">
        <v>3443.2</v>
      </c>
      <c r="G50" s="22">
        <v>3456.31</v>
      </c>
      <c r="H50" s="22">
        <v>3404.43</v>
      </c>
      <c r="I50" s="22">
        <v>3454.76</v>
      </c>
      <c r="J50" s="23">
        <v>11851393</v>
      </c>
      <c r="K50" s="23">
        <v>487731</v>
      </c>
      <c r="L50" s="20">
        <v>19.6</v>
      </c>
      <c r="M50" s="24">
        <f t="shared" si="0"/>
        <v>11.5600000000004</v>
      </c>
      <c r="N50" s="25">
        <f t="shared" si="1"/>
        <v>0.00335734200743506</v>
      </c>
    </row>
    <row r="51" spans="1:14">
      <c r="A51" s="14">
        <v>49</v>
      </c>
      <c r="B51" s="14" t="s">
        <v>36</v>
      </c>
      <c r="C51" s="14" t="s">
        <v>37</v>
      </c>
      <c r="D51" s="14" t="s">
        <v>23</v>
      </c>
      <c r="E51" s="15">
        <v>45754</v>
      </c>
      <c r="F51" s="16">
        <v>768.57</v>
      </c>
      <c r="G51" s="16">
        <v>774.02</v>
      </c>
      <c r="H51" s="16">
        <v>755.99</v>
      </c>
      <c r="I51" s="16">
        <v>758.38</v>
      </c>
      <c r="J51" s="17">
        <v>5970477</v>
      </c>
      <c r="K51" s="17">
        <v>678551</v>
      </c>
      <c r="L51" s="14">
        <v>12.2</v>
      </c>
      <c r="M51" s="18">
        <f t="shared" si="0"/>
        <v>-10.1900000000001</v>
      </c>
      <c r="N51" s="19">
        <f t="shared" si="1"/>
        <v>-0.0132583889561134</v>
      </c>
    </row>
    <row r="52" spans="1:14">
      <c r="A52" s="20">
        <v>50</v>
      </c>
      <c r="B52" s="20" t="s">
        <v>38</v>
      </c>
      <c r="C52" s="20" t="s">
        <v>39</v>
      </c>
      <c r="D52" s="20" t="s">
        <v>40</v>
      </c>
      <c r="E52" s="21">
        <v>45756</v>
      </c>
      <c r="F52" s="22">
        <v>6886.71</v>
      </c>
      <c r="G52" s="22">
        <v>6928.9</v>
      </c>
      <c r="H52" s="22">
        <v>6720.86</v>
      </c>
      <c r="I52" s="22">
        <v>6755.96</v>
      </c>
      <c r="J52" s="23">
        <v>8975369</v>
      </c>
      <c r="K52" s="23">
        <v>417280</v>
      </c>
      <c r="L52" s="20">
        <v>55.3</v>
      </c>
      <c r="M52" s="18">
        <f t="shared" si="0"/>
        <v>-130.75</v>
      </c>
      <c r="N52" s="19">
        <f t="shared" si="1"/>
        <v>-0.018985843748321</v>
      </c>
    </row>
    <row r="53" spans="1:14">
      <c r="A53" s="14">
        <v>51</v>
      </c>
      <c r="B53" s="14" t="s">
        <v>41</v>
      </c>
      <c r="C53" s="14" t="s">
        <v>42</v>
      </c>
      <c r="D53" s="14" t="s">
        <v>20</v>
      </c>
      <c r="E53" s="15">
        <v>45758</v>
      </c>
      <c r="F53" s="16">
        <v>479.21</v>
      </c>
      <c r="G53" s="16">
        <v>483.13</v>
      </c>
      <c r="H53" s="16">
        <v>468.49</v>
      </c>
      <c r="I53" s="16">
        <v>474.59</v>
      </c>
      <c r="J53" s="17">
        <v>10493090</v>
      </c>
      <c r="K53" s="17">
        <v>247182</v>
      </c>
      <c r="L53" s="14">
        <v>15.9</v>
      </c>
      <c r="M53" s="18">
        <f t="shared" si="0"/>
        <v>-4.62</v>
      </c>
      <c r="N53" s="19">
        <f t="shared" si="1"/>
        <v>-0.00964086726069991</v>
      </c>
    </row>
    <row r="54" spans="1:14">
      <c r="A54" s="20">
        <v>52</v>
      </c>
      <c r="B54" s="20" t="s">
        <v>43</v>
      </c>
      <c r="C54" s="20" t="s">
        <v>44</v>
      </c>
      <c r="D54" s="20" t="s">
        <v>45</v>
      </c>
      <c r="E54" s="21">
        <v>45760</v>
      </c>
      <c r="F54" s="22">
        <v>2790.53</v>
      </c>
      <c r="G54" s="22">
        <v>2853</v>
      </c>
      <c r="H54" s="22">
        <v>2762.49</v>
      </c>
      <c r="I54" s="22">
        <v>2830.47</v>
      </c>
      <c r="J54" s="23">
        <v>5697736</v>
      </c>
      <c r="K54" s="23">
        <v>270916</v>
      </c>
      <c r="L54" s="20">
        <v>45.9</v>
      </c>
      <c r="M54" s="24">
        <f t="shared" si="0"/>
        <v>39.9399999999996</v>
      </c>
      <c r="N54" s="25">
        <f t="shared" si="1"/>
        <v>0.0143126932876549</v>
      </c>
    </row>
    <row r="55" spans="1:14">
      <c r="A55" s="14">
        <v>53</v>
      </c>
      <c r="B55" s="14" t="s">
        <v>46</v>
      </c>
      <c r="C55" s="14" t="s">
        <v>47</v>
      </c>
      <c r="D55" s="14" t="s">
        <v>48</v>
      </c>
      <c r="E55" s="15">
        <v>45762</v>
      </c>
      <c r="F55" s="16">
        <v>11044.41</v>
      </c>
      <c r="G55" s="16">
        <v>11076.46</v>
      </c>
      <c r="H55" s="16">
        <v>10916.95</v>
      </c>
      <c r="I55" s="16">
        <v>11036</v>
      </c>
      <c r="J55" s="17">
        <v>11064061</v>
      </c>
      <c r="K55" s="17">
        <v>331080</v>
      </c>
      <c r="L55" s="14">
        <v>17.3</v>
      </c>
      <c r="M55" s="18">
        <f t="shared" si="0"/>
        <v>-8.40999999999985</v>
      </c>
      <c r="N55" s="19">
        <f t="shared" si="1"/>
        <v>-0.00076147118768679</v>
      </c>
    </row>
    <row r="56" spans="1:14">
      <c r="A56" s="20">
        <v>54</v>
      </c>
      <c r="B56" s="20" t="s">
        <v>49</v>
      </c>
      <c r="C56" s="20" t="s">
        <v>50</v>
      </c>
      <c r="D56" s="20" t="s">
        <v>51</v>
      </c>
      <c r="E56" s="21">
        <v>45764</v>
      </c>
      <c r="F56" s="22">
        <v>1605.44</v>
      </c>
      <c r="G56" s="22">
        <v>1616.06</v>
      </c>
      <c r="H56" s="22">
        <v>1581.43</v>
      </c>
      <c r="I56" s="22">
        <v>1606.88</v>
      </c>
      <c r="J56" s="23">
        <v>8543996</v>
      </c>
      <c r="K56" s="23">
        <v>386656</v>
      </c>
      <c r="L56" s="20">
        <v>59.8</v>
      </c>
      <c r="M56" s="24">
        <f t="shared" si="0"/>
        <v>1.44000000000005</v>
      </c>
      <c r="N56" s="25">
        <f t="shared" si="1"/>
        <v>0.000896950368746297</v>
      </c>
    </row>
    <row r="57" spans="1:14">
      <c r="A57" s="14">
        <v>55</v>
      </c>
      <c r="B57" s="14" t="s">
        <v>52</v>
      </c>
      <c r="C57" s="14" t="s">
        <v>53</v>
      </c>
      <c r="D57" s="14" t="s">
        <v>54</v>
      </c>
      <c r="E57" s="15">
        <v>45766</v>
      </c>
      <c r="F57" s="16">
        <v>3542.26</v>
      </c>
      <c r="G57" s="16">
        <v>3562.82</v>
      </c>
      <c r="H57" s="16">
        <v>3510.41</v>
      </c>
      <c r="I57" s="16">
        <v>3554.73</v>
      </c>
      <c r="J57" s="17">
        <v>10451896</v>
      </c>
      <c r="K57" s="17">
        <v>315863</v>
      </c>
      <c r="L57" s="14">
        <v>40.4</v>
      </c>
      <c r="M57" s="24">
        <f t="shared" si="0"/>
        <v>12.4699999999998</v>
      </c>
      <c r="N57" s="25">
        <f t="shared" si="1"/>
        <v>0.00352035141406893</v>
      </c>
    </row>
    <row r="58" spans="1:14">
      <c r="A58" s="20">
        <v>56</v>
      </c>
      <c r="B58" s="20" t="s">
        <v>55</v>
      </c>
      <c r="C58" s="20" t="s">
        <v>56</v>
      </c>
      <c r="D58" s="20" t="s">
        <v>23</v>
      </c>
      <c r="E58" s="21">
        <v>45768</v>
      </c>
      <c r="F58" s="22">
        <v>1794.87</v>
      </c>
      <c r="G58" s="22">
        <v>1820.06</v>
      </c>
      <c r="H58" s="22">
        <v>1766.8</v>
      </c>
      <c r="I58" s="22">
        <v>1771.69</v>
      </c>
      <c r="J58" s="23">
        <v>2232255</v>
      </c>
      <c r="K58" s="23">
        <v>352313</v>
      </c>
      <c r="L58" s="20">
        <v>63.8</v>
      </c>
      <c r="M58" s="18">
        <f t="shared" si="0"/>
        <v>-23.1799999999998</v>
      </c>
      <c r="N58" s="19">
        <f t="shared" si="1"/>
        <v>-0.0129145843431557</v>
      </c>
    </row>
    <row r="59" spans="1:14">
      <c r="A59" s="14">
        <v>57</v>
      </c>
      <c r="B59" s="14" t="s">
        <v>57</v>
      </c>
      <c r="C59" s="14" t="s">
        <v>58</v>
      </c>
      <c r="D59" s="14" t="s">
        <v>35</v>
      </c>
      <c r="E59" s="15">
        <v>45770</v>
      </c>
      <c r="F59" s="16">
        <v>1272.52</v>
      </c>
      <c r="G59" s="16">
        <v>1280.59</v>
      </c>
      <c r="H59" s="16">
        <v>1243.69</v>
      </c>
      <c r="I59" s="16">
        <v>1265.73</v>
      </c>
      <c r="J59" s="17">
        <v>6351008</v>
      </c>
      <c r="K59" s="17">
        <v>273398</v>
      </c>
      <c r="L59" s="14">
        <v>49.9</v>
      </c>
      <c r="M59" s="18">
        <f t="shared" si="0"/>
        <v>-6.78999999999996</v>
      </c>
      <c r="N59" s="19">
        <f t="shared" si="1"/>
        <v>-0.00533586898437743</v>
      </c>
    </row>
    <row r="60" spans="1:14">
      <c r="A60" s="20">
        <v>58</v>
      </c>
      <c r="B60" s="20" t="s">
        <v>59</v>
      </c>
      <c r="C60" s="20" t="s">
        <v>60</v>
      </c>
      <c r="D60" s="20" t="s">
        <v>61</v>
      </c>
      <c r="E60" s="21">
        <v>45772</v>
      </c>
      <c r="F60" s="22">
        <v>326.14</v>
      </c>
      <c r="G60" s="22">
        <v>333.76</v>
      </c>
      <c r="H60" s="22">
        <v>324.12</v>
      </c>
      <c r="I60" s="22">
        <v>331.07</v>
      </c>
      <c r="J60" s="23">
        <v>7804004</v>
      </c>
      <c r="K60" s="23">
        <v>307274</v>
      </c>
      <c r="L60" s="20">
        <v>53.1</v>
      </c>
      <c r="M60" s="24">
        <f t="shared" si="0"/>
        <v>4.93000000000001</v>
      </c>
      <c r="N60" s="25">
        <f t="shared" si="1"/>
        <v>0.0151162077635372</v>
      </c>
    </row>
    <row r="61" spans="1:14">
      <c r="A61" s="14">
        <v>59</v>
      </c>
      <c r="B61" s="14" t="s">
        <v>62</v>
      </c>
      <c r="C61" s="14" t="s">
        <v>63</v>
      </c>
      <c r="D61" s="14" t="s">
        <v>61</v>
      </c>
      <c r="E61" s="15">
        <v>45774</v>
      </c>
      <c r="F61" s="16">
        <v>362</v>
      </c>
      <c r="G61" s="16">
        <v>366.09</v>
      </c>
      <c r="H61" s="16">
        <v>359.21</v>
      </c>
      <c r="I61" s="16">
        <v>361.22</v>
      </c>
      <c r="J61" s="17">
        <v>10744409</v>
      </c>
      <c r="K61" s="17">
        <v>350183</v>
      </c>
      <c r="L61" s="14">
        <v>42.2</v>
      </c>
      <c r="M61" s="18">
        <f t="shared" si="0"/>
        <v>-0.779999999999973</v>
      </c>
      <c r="N61" s="19">
        <f t="shared" si="1"/>
        <v>-0.00215469613259661</v>
      </c>
    </row>
    <row r="62" spans="1:14">
      <c r="A62" s="20">
        <v>60</v>
      </c>
      <c r="B62" s="20" t="s">
        <v>64</v>
      </c>
      <c r="C62" s="20" t="s">
        <v>65</v>
      </c>
      <c r="D62" s="20" t="s">
        <v>66</v>
      </c>
      <c r="E62" s="21">
        <v>45776</v>
      </c>
      <c r="F62" s="22">
        <v>1617.79</v>
      </c>
      <c r="G62" s="22">
        <v>1629.49</v>
      </c>
      <c r="H62" s="22">
        <v>1588.14</v>
      </c>
      <c r="I62" s="22">
        <v>1622.13</v>
      </c>
      <c r="J62" s="23">
        <v>9139837</v>
      </c>
      <c r="K62" s="23">
        <v>907410</v>
      </c>
      <c r="L62" s="20">
        <v>40.3</v>
      </c>
      <c r="M62" s="24">
        <f t="shared" si="0"/>
        <v>4.34000000000015</v>
      </c>
      <c r="N62" s="25">
        <f t="shared" si="1"/>
        <v>0.00268267204025253</v>
      </c>
    </row>
    <row r="63" spans="1:14">
      <c r="A63" s="14">
        <v>61</v>
      </c>
      <c r="B63" s="14" t="s">
        <v>15</v>
      </c>
      <c r="C63" s="14" t="s">
        <v>16</v>
      </c>
      <c r="D63" s="14" t="s">
        <v>17</v>
      </c>
      <c r="E63" s="15">
        <v>45778</v>
      </c>
      <c r="F63" s="16">
        <v>2856.98</v>
      </c>
      <c r="G63" s="16">
        <v>2920.37</v>
      </c>
      <c r="H63" s="16">
        <v>2855.24</v>
      </c>
      <c r="I63" s="16">
        <v>2895.95</v>
      </c>
      <c r="J63" s="17">
        <v>4598657</v>
      </c>
      <c r="K63" s="17">
        <v>2585670</v>
      </c>
      <c r="L63" s="14">
        <v>17.2</v>
      </c>
      <c r="M63" s="24">
        <f t="shared" si="0"/>
        <v>38.9699999999998</v>
      </c>
      <c r="N63" s="25">
        <f t="shared" si="1"/>
        <v>0.0136402774958172</v>
      </c>
    </row>
    <row r="64" spans="1:14">
      <c r="A64" s="20">
        <v>62</v>
      </c>
      <c r="B64" s="20" t="s">
        <v>18</v>
      </c>
      <c r="C64" s="20" t="s">
        <v>19</v>
      </c>
      <c r="D64" s="20" t="s">
        <v>20</v>
      </c>
      <c r="E64" s="21">
        <v>45780</v>
      </c>
      <c r="F64" s="22">
        <v>3892.41</v>
      </c>
      <c r="G64" s="22">
        <v>3899.2</v>
      </c>
      <c r="H64" s="22">
        <v>3838.17</v>
      </c>
      <c r="I64" s="22">
        <v>3886.64</v>
      </c>
      <c r="J64" s="23">
        <v>7419242</v>
      </c>
      <c r="K64" s="23">
        <v>1395204</v>
      </c>
      <c r="L64" s="20">
        <v>52.1</v>
      </c>
      <c r="M64" s="18">
        <f t="shared" si="0"/>
        <v>-5.76999999999998</v>
      </c>
      <c r="N64" s="19">
        <f t="shared" si="1"/>
        <v>-0.00148237210365814</v>
      </c>
    </row>
    <row r="65" spans="1:14">
      <c r="A65" s="14">
        <v>63</v>
      </c>
      <c r="B65" s="14" t="s">
        <v>21</v>
      </c>
      <c r="C65" s="14" t="s">
        <v>22</v>
      </c>
      <c r="D65" s="14" t="s">
        <v>23</v>
      </c>
      <c r="E65" s="15">
        <v>45782</v>
      </c>
      <c r="F65" s="16">
        <v>1606.37</v>
      </c>
      <c r="G65" s="16">
        <v>1631.32</v>
      </c>
      <c r="H65" s="16">
        <v>1594.54</v>
      </c>
      <c r="I65" s="16">
        <v>1602.38</v>
      </c>
      <c r="J65" s="17">
        <v>6511715</v>
      </c>
      <c r="K65" s="17">
        <v>1213924</v>
      </c>
      <c r="L65" s="14">
        <v>26.7</v>
      </c>
      <c r="M65" s="18">
        <f t="shared" si="0"/>
        <v>-3.98999999999978</v>
      </c>
      <c r="N65" s="19">
        <f t="shared" si="1"/>
        <v>-0.00248386112788447</v>
      </c>
    </row>
    <row r="66" spans="1:14">
      <c r="A66" s="20">
        <v>64</v>
      </c>
      <c r="B66" s="20" t="s">
        <v>24</v>
      </c>
      <c r="C66" s="20" t="s">
        <v>25</v>
      </c>
      <c r="D66" s="20" t="s">
        <v>20</v>
      </c>
      <c r="E66" s="21">
        <v>45784</v>
      </c>
      <c r="F66" s="22">
        <v>1416.72</v>
      </c>
      <c r="G66" s="22">
        <v>1427.11</v>
      </c>
      <c r="H66" s="22">
        <v>1382.52</v>
      </c>
      <c r="I66" s="22">
        <v>1393.62</v>
      </c>
      <c r="J66" s="23">
        <v>9893590</v>
      </c>
      <c r="K66" s="23">
        <v>576670</v>
      </c>
      <c r="L66" s="20">
        <v>34.1</v>
      </c>
      <c r="M66" s="18">
        <f t="shared" si="0"/>
        <v>-23.1000000000001</v>
      </c>
      <c r="N66" s="19">
        <f t="shared" si="1"/>
        <v>-0.0163052685075386</v>
      </c>
    </row>
    <row r="67" spans="1:14">
      <c r="A67" s="14">
        <v>65</v>
      </c>
      <c r="B67" s="14" t="s">
        <v>26</v>
      </c>
      <c r="C67" s="14" t="s">
        <v>27</v>
      </c>
      <c r="D67" s="14" t="s">
        <v>23</v>
      </c>
      <c r="E67" s="15">
        <v>45786</v>
      </c>
      <c r="F67" s="16">
        <v>1079.54</v>
      </c>
      <c r="G67" s="16">
        <v>1088.47</v>
      </c>
      <c r="H67" s="16">
        <v>1072.83</v>
      </c>
      <c r="I67" s="16">
        <v>1082</v>
      </c>
      <c r="J67" s="17">
        <v>5742923</v>
      </c>
      <c r="K67" s="17">
        <v>762552</v>
      </c>
      <c r="L67" s="14">
        <v>59.9</v>
      </c>
      <c r="M67" s="24">
        <f t="shared" ref="M67:M102" si="2">I67-F67</f>
        <v>2.46000000000004</v>
      </c>
      <c r="N67" s="25">
        <f t="shared" ref="N67:N102" si="3">M67/F67</f>
        <v>0.0022787483557812</v>
      </c>
    </row>
    <row r="68" spans="1:14">
      <c r="A68" s="20">
        <v>66</v>
      </c>
      <c r="B68" s="20" t="s">
        <v>28</v>
      </c>
      <c r="C68" s="20" t="s">
        <v>29</v>
      </c>
      <c r="D68" s="20" t="s">
        <v>30</v>
      </c>
      <c r="E68" s="21">
        <v>45788</v>
      </c>
      <c r="F68" s="22">
        <v>2469.84</v>
      </c>
      <c r="G68" s="22">
        <v>2479.78</v>
      </c>
      <c r="H68" s="22">
        <v>2411.27</v>
      </c>
      <c r="I68" s="22">
        <v>2449.56</v>
      </c>
      <c r="J68" s="23">
        <v>10510968</v>
      </c>
      <c r="K68" s="23">
        <v>571564</v>
      </c>
      <c r="L68" s="20">
        <v>51.2</v>
      </c>
      <c r="M68" s="18">
        <f t="shared" si="2"/>
        <v>-20.2800000000002</v>
      </c>
      <c r="N68" s="19">
        <f t="shared" si="3"/>
        <v>-0.00821105820619967</v>
      </c>
    </row>
    <row r="69" spans="1:14">
      <c r="A69" s="14">
        <v>67</v>
      </c>
      <c r="B69" s="14" t="s">
        <v>31</v>
      </c>
      <c r="C69" s="14" t="s">
        <v>32</v>
      </c>
      <c r="D69" s="14" t="s">
        <v>30</v>
      </c>
      <c r="E69" s="15">
        <v>45790</v>
      </c>
      <c r="F69" s="16">
        <v>442.19</v>
      </c>
      <c r="G69" s="16">
        <v>449.51</v>
      </c>
      <c r="H69" s="16">
        <v>436.67</v>
      </c>
      <c r="I69" s="16">
        <v>442.19</v>
      </c>
      <c r="J69" s="17">
        <v>1787140</v>
      </c>
      <c r="K69" s="17">
        <v>550281</v>
      </c>
      <c r="L69" s="14">
        <v>48.5</v>
      </c>
      <c r="M69" s="24">
        <f t="shared" si="2"/>
        <v>0</v>
      </c>
      <c r="N69" s="25">
        <f t="shared" si="3"/>
        <v>0</v>
      </c>
    </row>
    <row r="70" spans="1:14">
      <c r="A70" s="20">
        <v>68</v>
      </c>
      <c r="B70" s="20" t="s">
        <v>33</v>
      </c>
      <c r="C70" s="20" t="s">
        <v>34</v>
      </c>
      <c r="D70" s="20" t="s">
        <v>35</v>
      </c>
      <c r="E70" s="21">
        <v>45792</v>
      </c>
      <c r="F70" s="22">
        <v>3414.41</v>
      </c>
      <c r="G70" s="22">
        <v>3431.57</v>
      </c>
      <c r="H70" s="22">
        <v>3352.03</v>
      </c>
      <c r="I70" s="22">
        <v>3377.62</v>
      </c>
      <c r="J70" s="23">
        <v>11018744</v>
      </c>
      <c r="K70" s="23">
        <v>476840</v>
      </c>
      <c r="L70" s="20">
        <v>45.1</v>
      </c>
      <c r="M70" s="18">
        <f t="shared" si="2"/>
        <v>-36.79</v>
      </c>
      <c r="N70" s="19">
        <f t="shared" si="3"/>
        <v>-0.0107749215823524</v>
      </c>
    </row>
    <row r="71" spans="1:14">
      <c r="A71" s="14">
        <v>69</v>
      </c>
      <c r="B71" s="14" t="s">
        <v>36</v>
      </c>
      <c r="C71" s="14" t="s">
        <v>37</v>
      </c>
      <c r="D71" s="14" t="s">
        <v>23</v>
      </c>
      <c r="E71" s="15">
        <v>45794</v>
      </c>
      <c r="F71" s="16">
        <v>777.66</v>
      </c>
      <c r="G71" s="16">
        <v>784.14</v>
      </c>
      <c r="H71" s="16">
        <v>775.26</v>
      </c>
      <c r="I71" s="16">
        <v>780.03</v>
      </c>
      <c r="J71" s="17">
        <v>11204702</v>
      </c>
      <c r="K71" s="17">
        <v>697922</v>
      </c>
      <c r="L71" s="14">
        <v>44</v>
      </c>
      <c r="M71" s="24">
        <f t="shared" si="2"/>
        <v>2.37</v>
      </c>
      <c r="N71" s="25">
        <f t="shared" si="3"/>
        <v>0.00304760435151609</v>
      </c>
    </row>
    <row r="72" spans="1:14">
      <c r="A72" s="20">
        <v>70</v>
      </c>
      <c r="B72" s="20" t="s">
        <v>38</v>
      </c>
      <c r="C72" s="20" t="s">
        <v>39</v>
      </c>
      <c r="D72" s="20" t="s">
        <v>40</v>
      </c>
      <c r="E72" s="21">
        <v>45796</v>
      </c>
      <c r="F72" s="22">
        <v>6813.07</v>
      </c>
      <c r="G72" s="22">
        <v>6859.59</v>
      </c>
      <c r="H72" s="22">
        <v>6683.08</v>
      </c>
      <c r="I72" s="22">
        <v>6686.99</v>
      </c>
      <c r="J72" s="23">
        <v>3711889</v>
      </c>
      <c r="K72" s="23">
        <v>413020</v>
      </c>
      <c r="L72" s="20">
        <v>12.8</v>
      </c>
      <c r="M72" s="18">
        <f t="shared" si="2"/>
        <v>-126.08</v>
      </c>
      <c r="N72" s="19">
        <f t="shared" si="3"/>
        <v>-0.0185056076042078</v>
      </c>
    </row>
    <row r="73" spans="1:14">
      <c r="A73" s="14">
        <v>71</v>
      </c>
      <c r="B73" s="14" t="s">
        <v>41</v>
      </c>
      <c r="C73" s="14" t="s">
        <v>42</v>
      </c>
      <c r="D73" s="14" t="s">
        <v>20</v>
      </c>
      <c r="E73" s="15">
        <v>45798</v>
      </c>
      <c r="F73" s="16">
        <v>481.49</v>
      </c>
      <c r="G73" s="16">
        <v>487.25</v>
      </c>
      <c r="H73" s="16">
        <v>480.26</v>
      </c>
      <c r="I73" s="16">
        <v>483.89</v>
      </c>
      <c r="J73" s="17">
        <v>6084962</v>
      </c>
      <c r="K73" s="17">
        <v>252026</v>
      </c>
      <c r="L73" s="14">
        <v>31.7</v>
      </c>
      <c r="M73" s="24">
        <f t="shared" si="2"/>
        <v>2.39999999999998</v>
      </c>
      <c r="N73" s="25">
        <f t="shared" si="3"/>
        <v>0.00498452719682647</v>
      </c>
    </row>
    <row r="74" spans="1:14">
      <c r="A74" s="20">
        <v>72</v>
      </c>
      <c r="B74" s="20" t="s">
        <v>43</v>
      </c>
      <c r="C74" s="20" t="s">
        <v>44</v>
      </c>
      <c r="D74" s="20" t="s">
        <v>45</v>
      </c>
      <c r="E74" s="21">
        <v>45800</v>
      </c>
      <c r="F74" s="22">
        <v>2839.45</v>
      </c>
      <c r="G74" s="22">
        <v>2906.91</v>
      </c>
      <c r="H74" s="22">
        <v>2792.05</v>
      </c>
      <c r="I74" s="22">
        <v>2826.9</v>
      </c>
      <c r="J74" s="23">
        <v>7221452</v>
      </c>
      <c r="K74" s="23">
        <v>270575</v>
      </c>
      <c r="L74" s="20">
        <v>35</v>
      </c>
      <c r="M74" s="18">
        <f t="shared" si="2"/>
        <v>-12.5499999999997</v>
      </c>
      <c r="N74" s="19">
        <f t="shared" si="3"/>
        <v>-0.00441987004525515</v>
      </c>
    </row>
    <row r="75" spans="1:14">
      <c r="A75" s="14">
        <v>73</v>
      </c>
      <c r="B75" s="14" t="s">
        <v>46</v>
      </c>
      <c r="C75" s="14" t="s">
        <v>47</v>
      </c>
      <c r="D75" s="14" t="s">
        <v>48</v>
      </c>
      <c r="E75" s="15">
        <v>45802</v>
      </c>
      <c r="F75" s="16">
        <v>10856.93</v>
      </c>
      <c r="G75" s="16">
        <v>11037.21</v>
      </c>
      <c r="H75" s="16">
        <v>10739.88</v>
      </c>
      <c r="I75" s="16">
        <v>10775.28</v>
      </c>
      <c r="J75" s="17">
        <v>5408627</v>
      </c>
      <c r="K75" s="17">
        <v>323258</v>
      </c>
      <c r="L75" s="14">
        <v>46.5</v>
      </c>
      <c r="M75" s="18">
        <f t="shared" si="2"/>
        <v>-81.6499999999996</v>
      </c>
      <c r="N75" s="19">
        <f t="shared" si="3"/>
        <v>-0.00752054217905058</v>
      </c>
    </row>
    <row r="76" spans="1:14">
      <c r="A76" s="20">
        <v>74</v>
      </c>
      <c r="B76" s="20" t="s">
        <v>49</v>
      </c>
      <c r="C76" s="20" t="s">
        <v>50</v>
      </c>
      <c r="D76" s="20" t="s">
        <v>51</v>
      </c>
      <c r="E76" s="21">
        <v>45804</v>
      </c>
      <c r="F76" s="22">
        <v>1608.44</v>
      </c>
      <c r="G76" s="22">
        <v>1640.22</v>
      </c>
      <c r="H76" s="22">
        <v>1589.22</v>
      </c>
      <c r="I76" s="22">
        <v>1635.89</v>
      </c>
      <c r="J76" s="23">
        <v>6178873</v>
      </c>
      <c r="K76" s="23">
        <v>393636</v>
      </c>
      <c r="L76" s="20">
        <v>60.5</v>
      </c>
      <c r="M76" s="24">
        <f t="shared" si="2"/>
        <v>27.45</v>
      </c>
      <c r="N76" s="25">
        <f t="shared" si="3"/>
        <v>0.0170662256596454</v>
      </c>
    </row>
    <row r="77" spans="1:14">
      <c r="A77" s="14">
        <v>75</v>
      </c>
      <c r="B77" s="14" t="s">
        <v>52</v>
      </c>
      <c r="C77" s="14" t="s">
        <v>53</v>
      </c>
      <c r="D77" s="14" t="s">
        <v>54</v>
      </c>
      <c r="E77" s="15">
        <v>45806</v>
      </c>
      <c r="F77" s="16">
        <v>3423.56</v>
      </c>
      <c r="G77" s="16">
        <v>3492.59</v>
      </c>
      <c r="H77" s="16">
        <v>3375.84</v>
      </c>
      <c r="I77" s="16">
        <v>3446.24</v>
      </c>
      <c r="J77" s="17">
        <v>550380</v>
      </c>
      <c r="K77" s="17">
        <v>306223</v>
      </c>
      <c r="L77" s="14">
        <v>57.5</v>
      </c>
      <c r="M77" s="24">
        <f t="shared" si="2"/>
        <v>22.6799999999998</v>
      </c>
      <c r="N77" s="25">
        <f t="shared" si="3"/>
        <v>0.00662468307843293</v>
      </c>
    </row>
    <row r="78" spans="1:14">
      <c r="A78" s="20">
        <v>76</v>
      </c>
      <c r="B78" s="20" t="s">
        <v>55</v>
      </c>
      <c r="C78" s="20" t="s">
        <v>56</v>
      </c>
      <c r="D78" s="20" t="s">
        <v>23</v>
      </c>
      <c r="E78" s="21">
        <v>45808</v>
      </c>
      <c r="F78" s="22">
        <v>1724.61</v>
      </c>
      <c r="G78" s="22">
        <v>1735.71</v>
      </c>
      <c r="H78" s="22">
        <v>1710.81</v>
      </c>
      <c r="I78" s="22">
        <v>1732.08</v>
      </c>
      <c r="J78" s="23">
        <v>4958111</v>
      </c>
      <c r="K78" s="23">
        <v>344436</v>
      </c>
      <c r="L78" s="20">
        <v>64.4</v>
      </c>
      <c r="M78" s="24">
        <f t="shared" si="2"/>
        <v>7.47000000000003</v>
      </c>
      <c r="N78" s="25">
        <f t="shared" si="3"/>
        <v>0.00433141405883071</v>
      </c>
    </row>
    <row r="79" spans="1:14">
      <c r="A79" s="14">
        <v>77</v>
      </c>
      <c r="B79" s="14" t="s">
        <v>57</v>
      </c>
      <c r="C79" s="14" t="s">
        <v>58</v>
      </c>
      <c r="D79" s="14" t="s">
        <v>35</v>
      </c>
      <c r="E79" s="15">
        <v>45810</v>
      </c>
      <c r="F79" s="16">
        <v>1241.93</v>
      </c>
      <c r="G79" s="16">
        <v>1242.49</v>
      </c>
      <c r="H79" s="16">
        <v>1210.89</v>
      </c>
      <c r="I79" s="16">
        <v>1238.65</v>
      </c>
      <c r="J79" s="17">
        <v>7978301</v>
      </c>
      <c r="K79" s="17">
        <v>267548</v>
      </c>
      <c r="L79" s="14">
        <v>57.6</v>
      </c>
      <c r="M79" s="18">
        <f t="shared" si="2"/>
        <v>-3.27999999999997</v>
      </c>
      <c r="N79" s="19">
        <f t="shared" si="3"/>
        <v>-0.00264105062282091</v>
      </c>
    </row>
    <row r="80" spans="1:14">
      <c r="A80" s="20">
        <v>78</v>
      </c>
      <c r="B80" s="20" t="s">
        <v>59</v>
      </c>
      <c r="C80" s="20" t="s">
        <v>60</v>
      </c>
      <c r="D80" s="20" t="s">
        <v>61</v>
      </c>
      <c r="E80" s="21">
        <v>45812</v>
      </c>
      <c r="F80" s="22">
        <v>322.28</v>
      </c>
      <c r="G80" s="22">
        <v>326</v>
      </c>
      <c r="H80" s="22">
        <v>316.26</v>
      </c>
      <c r="I80" s="22">
        <v>321.63</v>
      </c>
      <c r="J80" s="23">
        <v>13163297</v>
      </c>
      <c r="K80" s="23">
        <v>298513</v>
      </c>
      <c r="L80" s="20">
        <v>42.7</v>
      </c>
      <c r="M80" s="18">
        <f t="shared" si="2"/>
        <v>-0.649999999999977</v>
      </c>
      <c r="N80" s="19">
        <f t="shared" si="3"/>
        <v>-0.00201687973191007</v>
      </c>
    </row>
    <row r="81" spans="1:14">
      <c r="A81" s="14">
        <v>79</v>
      </c>
      <c r="B81" s="14" t="s">
        <v>62</v>
      </c>
      <c r="C81" s="14" t="s">
        <v>63</v>
      </c>
      <c r="D81" s="14" t="s">
        <v>61</v>
      </c>
      <c r="E81" s="15">
        <v>45814</v>
      </c>
      <c r="F81" s="16">
        <v>366.16</v>
      </c>
      <c r="G81" s="16">
        <v>373.37</v>
      </c>
      <c r="H81" s="16">
        <v>359.04</v>
      </c>
      <c r="I81" s="16">
        <v>368.58</v>
      </c>
      <c r="J81" s="17">
        <v>3043895</v>
      </c>
      <c r="K81" s="17">
        <v>357318</v>
      </c>
      <c r="L81" s="14">
        <v>38.9</v>
      </c>
      <c r="M81" s="24">
        <f t="shared" si="2"/>
        <v>2.41999999999996</v>
      </c>
      <c r="N81" s="25">
        <f t="shared" si="3"/>
        <v>0.00660913261961973</v>
      </c>
    </row>
    <row r="82" spans="1:14">
      <c r="A82" s="20">
        <v>80</v>
      </c>
      <c r="B82" s="20" t="s">
        <v>64</v>
      </c>
      <c r="C82" s="20" t="s">
        <v>65</v>
      </c>
      <c r="D82" s="20" t="s">
        <v>66</v>
      </c>
      <c r="E82" s="21">
        <v>45816</v>
      </c>
      <c r="F82" s="22">
        <v>1601.99</v>
      </c>
      <c r="G82" s="22">
        <v>1637.83</v>
      </c>
      <c r="H82" s="22">
        <v>1583.58</v>
      </c>
      <c r="I82" s="22">
        <v>1632.14</v>
      </c>
      <c r="J82" s="23">
        <v>1979493</v>
      </c>
      <c r="K82" s="23">
        <v>913009</v>
      </c>
      <c r="L82" s="20">
        <v>47.6</v>
      </c>
      <c r="M82" s="24">
        <f t="shared" si="2"/>
        <v>30.1500000000001</v>
      </c>
      <c r="N82" s="25">
        <f t="shared" si="3"/>
        <v>0.0188203421993896</v>
      </c>
    </row>
    <row r="83" spans="1:14">
      <c r="A83" s="14">
        <v>81</v>
      </c>
      <c r="B83" s="14" t="s">
        <v>15</v>
      </c>
      <c r="C83" s="14" t="s">
        <v>16</v>
      </c>
      <c r="D83" s="14" t="s">
        <v>17</v>
      </c>
      <c r="E83" s="15">
        <v>45818</v>
      </c>
      <c r="F83" s="16">
        <v>2760.76</v>
      </c>
      <c r="G83" s="16">
        <v>2814.77</v>
      </c>
      <c r="H83" s="16">
        <v>2724.37</v>
      </c>
      <c r="I83" s="16">
        <v>2746.56</v>
      </c>
      <c r="J83" s="17">
        <v>8488525</v>
      </c>
      <c r="K83" s="17">
        <v>2452286</v>
      </c>
      <c r="L83" s="14">
        <v>64.9</v>
      </c>
      <c r="M83" s="18">
        <f t="shared" si="2"/>
        <v>-14.2000000000003</v>
      </c>
      <c r="N83" s="19">
        <f t="shared" si="3"/>
        <v>-0.00514351120705902</v>
      </c>
    </row>
    <row r="84" spans="1:14">
      <c r="A84" s="20">
        <v>82</v>
      </c>
      <c r="B84" s="20" t="s">
        <v>18</v>
      </c>
      <c r="C84" s="20" t="s">
        <v>19</v>
      </c>
      <c r="D84" s="20" t="s">
        <v>20</v>
      </c>
      <c r="E84" s="21">
        <v>45820</v>
      </c>
      <c r="F84" s="22">
        <v>3988.97</v>
      </c>
      <c r="G84" s="22">
        <v>4080.31</v>
      </c>
      <c r="H84" s="22">
        <v>3940.87</v>
      </c>
      <c r="I84" s="22">
        <v>4056.25</v>
      </c>
      <c r="J84" s="23">
        <v>11958473</v>
      </c>
      <c r="K84" s="23">
        <v>1456090</v>
      </c>
      <c r="L84" s="20">
        <v>32.2</v>
      </c>
      <c r="M84" s="24">
        <f t="shared" si="2"/>
        <v>67.2800000000002</v>
      </c>
      <c r="N84" s="25">
        <f t="shared" si="3"/>
        <v>0.0168665093996696</v>
      </c>
    </row>
    <row r="85" spans="1:14">
      <c r="A85" s="14">
        <v>83</v>
      </c>
      <c r="B85" s="14" t="s">
        <v>21</v>
      </c>
      <c r="C85" s="14" t="s">
        <v>22</v>
      </c>
      <c r="D85" s="14" t="s">
        <v>23</v>
      </c>
      <c r="E85" s="15">
        <v>45822</v>
      </c>
      <c r="F85" s="16">
        <v>1643.91</v>
      </c>
      <c r="G85" s="16">
        <v>1654.19</v>
      </c>
      <c r="H85" s="16">
        <v>1630.67</v>
      </c>
      <c r="I85" s="16">
        <v>1635.38</v>
      </c>
      <c r="J85" s="17">
        <v>3290292</v>
      </c>
      <c r="K85" s="17">
        <v>1238924</v>
      </c>
      <c r="L85" s="14">
        <v>34.8</v>
      </c>
      <c r="M85" s="18">
        <f t="shared" si="2"/>
        <v>-8.52999999999997</v>
      </c>
      <c r="N85" s="19">
        <f t="shared" si="3"/>
        <v>-0.00518884853793697</v>
      </c>
    </row>
    <row r="86" spans="1:14">
      <c r="A86" s="20">
        <v>84</v>
      </c>
      <c r="B86" s="20" t="s">
        <v>24</v>
      </c>
      <c r="C86" s="20" t="s">
        <v>25</v>
      </c>
      <c r="D86" s="20" t="s">
        <v>20</v>
      </c>
      <c r="E86" s="21">
        <v>45824</v>
      </c>
      <c r="F86" s="22">
        <v>1456.97</v>
      </c>
      <c r="G86" s="22">
        <v>1472.39</v>
      </c>
      <c r="H86" s="22">
        <v>1440.62</v>
      </c>
      <c r="I86" s="22">
        <v>1463.1</v>
      </c>
      <c r="J86" s="23">
        <v>9149668</v>
      </c>
      <c r="K86" s="23">
        <v>605421</v>
      </c>
      <c r="L86" s="20">
        <v>51.9</v>
      </c>
      <c r="M86" s="24">
        <f t="shared" si="2"/>
        <v>6.12999999999988</v>
      </c>
      <c r="N86" s="25">
        <f t="shared" si="3"/>
        <v>0.00420736185371002</v>
      </c>
    </row>
    <row r="87" spans="1:14">
      <c r="A87" s="14">
        <v>85</v>
      </c>
      <c r="B87" s="14" t="s">
        <v>26</v>
      </c>
      <c r="C87" s="14" t="s">
        <v>27</v>
      </c>
      <c r="D87" s="14" t="s">
        <v>23</v>
      </c>
      <c r="E87" s="15">
        <v>45826</v>
      </c>
      <c r="F87" s="16">
        <v>1071.04</v>
      </c>
      <c r="G87" s="16">
        <v>1081.18</v>
      </c>
      <c r="H87" s="16">
        <v>1056.9</v>
      </c>
      <c r="I87" s="16">
        <v>1061.2</v>
      </c>
      <c r="J87" s="17">
        <v>4053236</v>
      </c>
      <c r="K87" s="17">
        <v>747893</v>
      </c>
      <c r="L87" s="14">
        <v>48.2</v>
      </c>
      <c r="M87" s="18">
        <f t="shared" si="2"/>
        <v>-9.83999999999992</v>
      </c>
      <c r="N87" s="19">
        <f t="shared" si="3"/>
        <v>-0.00918733193904982</v>
      </c>
    </row>
    <row r="88" spans="1:14">
      <c r="A88" s="20">
        <v>86</v>
      </c>
      <c r="B88" s="20" t="s">
        <v>28</v>
      </c>
      <c r="C88" s="20" t="s">
        <v>29</v>
      </c>
      <c r="D88" s="20" t="s">
        <v>30</v>
      </c>
      <c r="E88" s="21">
        <v>45828</v>
      </c>
      <c r="F88" s="22">
        <v>2397.87</v>
      </c>
      <c r="G88" s="22">
        <v>2415.99</v>
      </c>
      <c r="H88" s="22">
        <v>2367.92</v>
      </c>
      <c r="I88" s="22">
        <v>2387.91</v>
      </c>
      <c r="J88" s="23">
        <v>11623084</v>
      </c>
      <c r="K88" s="23">
        <v>557179</v>
      </c>
      <c r="L88" s="20">
        <v>48.9</v>
      </c>
      <c r="M88" s="18">
        <f t="shared" si="2"/>
        <v>-9.96000000000004</v>
      </c>
      <c r="N88" s="19">
        <f t="shared" si="3"/>
        <v>-0.00415368639667707</v>
      </c>
    </row>
    <row r="89" spans="1:14">
      <c r="A89" s="14">
        <v>87</v>
      </c>
      <c r="B89" s="14" t="s">
        <v>31</v>
      </c>
      <c r="C89" s="14" t="s">
        <v>32</v>
      </c>
      <c r="D89" s="14" t="s">
        <v>30</v>
      </c>
      <c r="E89" s="15">
        <v>45830</v>
      </c>
      <c r="F89" s="16">
        <v>438.69</v>
      </c>
      <c r="G89" s="16">
        <v>445.41</v>
      </c>
      <c r="H89" s="16">
        <v>438.39</v>
      </c>
      <c r="I89" s="16">
        <v>439.4</v>
      </c>
      <c r="J89" s="17">
        <v>14584166</v>
      </c>
      <c r="K89" s="17">
        <v>546809</v>
      </c>
      <c r="L89" s="14">
        <v>22.2</v>
      </c>
      <c r="M89" s="24">
        <f t="shared" si="2"/>
        <v>0.70999999999998</v>
      </c>
      <c r="N89" s="25">
        <f t="shared" si="3"/>
        <v>0.00161845494540559</v>
      </c>
    </row>
    <row r="90" spans="1:14">
      <c r="A90" s="20">
        <v>88</v>
      </c>
      <c r="B90" s="20" t="s">
        <v>33</v>
      </c>
      <c r="C90" s="20" t="s">
        <v>34</v>
      </c>
      <c r="D90" s="20" t="s">
        <v>35</v>
      </c>
      <c r="E90" s="21">
        <v>45832</v>
      </c>
      <c r="F90" s="22">
        <v>3310.44</v>
      </c>
      <c r="G90" s="22">
        <v>3356.23</v>
      </c>
      <c r="H90" s="22">
        <v>3239.85</v>
      </c>
      <c r="I90" s="22">
        <v>3300.26</v>
      </c>
      <c r="J90" s="23">
        <v>9479641</v>
      </c>
      <c r="K90" s="23">
        <v>465919</v>
      </c>
      <c r="L90" s="20">
        <v>37.4</v>
      </c>
      <c r="M90" s="18">
        <f t="shared" si="2"/>
        <v>-10.1799999999998</v>
      </c>
      <c r="N90" s="19">
        <f t="shared" si="3"/>
        <v>-0.00307511992363548</v>
      </c>
    </row>
    <row r="91" spans="1:14">
      <c r="A91" s="14">
        <v>89</v>
      </c>
      <c r="B91" s="14" t="s">
        <v>36</v>
      </c>
      <c r="C91" s="14" t="s">
        <v>37</v>
      </c>
      <c r="D91" s="14" t="s">
        <v>23</v>
      </c>
      <c r="E91" s="15">
        <v>45834</v>
      </c>
      <c r="F91" s="16">
        <v>746.89</v>
      </c>
      <c r="G91" s="16">
        <v>755.57</v>
      </c>
      <c r="H91" s="16">
        <v>740.13</v>
      </c>
      <c r="I91" s="16">
        <v>746.61</v>
      </c>
      <c r="J91" s="17">
        <v>14026051</v>
      </c>
      <c r="K91" s="17">
        <v>668019</v>
      </c>
      <c r="L91" s="14">
        <v>13.6</v>
      </c>
      <c r="M91" s="18">
        <f t="shared" si="2"/>
        <v>-0.279999999999973</v>
      </c>
      <c r="N91" s="19">
        <f t="shared" si="3"/>
        <v>-0.000374887868360766</v>
      </c>
    </row>
    <row r="92" spans="1:14">
      <c r="A92" s="20">
        <v>90</v>
      </c>
      <c r="B92" s="20" t="s">
        <v>38</v>
      </c>
      <c r="C92" s="20" t="s">
        <v>39</v>
      </c>
      <c r="D92" s="20" t="s">
        <v>40</v>
      </c>
      <c r="E92" s="21">
        <v>45836</v>
      </c>
      <c r="F92" s="22">
        <v>6780.92</v>
      </c>
      <c r="G92" s="22">
        <v>6886.22</v>
      </c>
      <c r="H92" s="22">
        <v>6639.39</v>
      </c>
      <c r="I92" s="22">
        <v>6822.13</v>
      </c>
      <c r="J92" s="23">
        <v>3007809</v>
      </c>
      <c r="K92" s="23">
        <v>421367</v>
      </c>
      <c r="L92" s="20">
        <v>19.5</v>
      </c>
      <c r="M92" s="24">
        <f t="shared" si="2"/>
        <v>41.21</v>
      </c>
      <c r="N92" s="25">
        <f t="shared" si="3"/>
        <v>0.0060773464367667</v>
      </c>
    </row>
    <row r="93" spans="1:14">
      <c r="A93" s="14">
        <v>91</v>
      </c>
      <c r="B93" s="14" t="s">
        <v>41</v>
      </c>
      <c r="C93" s="14" t="s">
        <v>42</v>
      </c>
      <c r="D93" s="14" t="s">
        <v>20</v>
      </c>
      <c r="E93" s="15">
        <v>45838</v>
      </c>
      <c r="F93" s="16">
        <v>470.25</v>
      </c>
      <c r="G93" s="16">
        <v>478.42</v>
      </c>
      <c r="H93" s="16">
        <v>462.85</v>
      </c>
      <c r="I93" s="16">
        <v>464.61</v>
      </c>
      <c r="J93" s="17">
        <v>1594570</v>
      </c>
      <c r="K93" s="17">
        <v>241984</v>
      </c>
      <c r="L93" s="14">
        <v>19.8</v>
      </c>
      <c r="M93" s="18">
        <f t="shared" si="2"/>
        <v>-5.63999999999999</v>
      </c>
      <c r="N93" s="19">
        <f t="shared" si="3"/>
        <v>-0.011993620414673</v>
      </c>
    </row>
    <row r="94" spans="1:14">
      <c r="A94" s="20">
        <v>92</v>
      </c>
      <c r="B94" s="20" t="s">
        <v>43</v>
      </c>
      <c r="C94" s="20" t="s">
        <v>44</v>
      </c>
      <c r="D94" s="20" t="s">
        <v>45</v>
      </c>
      <c r="E94" s="21">
        <v>45840</v>
      </c>
      <c r="F94" s="22">
        <v>2803.08</v>
      </c>
      <c r="G94" s="22">
        <v>2868.5</v>
      </c>
      <c r="H94" s="22">
        <v>2790.22</v>
      </c>
      <c r="I94" s="22">
        <v>2838.25</v>
      </c>
      <c r="J94" s="23">
        <v>14411336</v>
      </c>
      <c r="K94" s="23">
        <v>271661</v>
      </c>
      <c r="L94" s="20">
        <v>18.5</v>
      </c>
      <c r="M94" s="24">
        <f t="shared" si="2"/>
        <v>35.1700000000001</v>
      </c>
      <c r="N94" s="25">
        <f t="shared" si="3"/>
        <v>0.0125469126817644</v>
      </c>
    </row>
    <row r="95" spans="1:14">
      <c r="A95" s="14">
        <v>93</v>
      </c>
      <c r="B95" s="14" t="s">
        <v>46</v>
      </c>
      <c r="C95" s="14" t="s">
        <v>47</v>
      </c>
      <c r="D95" s="14" t="s">
        <v>48</v>
      </c>
      <c r="E95" s="15">
        <v>45842</v>
      </c>
      <c r="F95" s="16">
        <v>11206.89</v>
      </c>
      <c r="G95" s="16">
        <v>11321.16</v>
      </c>
      <c r="H95" s="16">
        <v>11061.65</v>
      </c>
      <c r="I95" s="16">
        <v>11104.2</v>
      </c>
      <c r="J95" s="17">
        <v>14367503</v>
      </c>
      <c r="K95" s="17">
        <v>333126</v>
      </c>
      <c r="L95" s="14">
        <v>52.8</v>
      </c>
      <c r="M95" s="18">
        <f t="shared" si="2"/>
        <v>-102.689999999999</v>
      </c>
      <c r="N95" s="19">
        <f t="shared" si="3"/>
        <v>-0.00916311304920444</v>
      </c>
    </row>
    <row r="96" spans="1:14">
      <c r="A96" s="20">
        <v>94</v>
      </c>
      <c r="B96" s="20" t="s">
        <v>49</v>
      </c>
      <c r="C96" s="20" t="s">
        <v>50</v>
      </c>
      <c r="D96" s="20" t="s">
        <v>51</v>
      </c>
      <c r="E96" s="21">
        <v>45844</v>
      </c>
      <c r="F96" s="22">
        <v>1618.06</v>
      </c>
      <c r="G96" s="22">
        <v>1645.15</v>
      </c>
      <c r="H96" s="22">
        <v>1611.78</v>
      </c>
      <c r="I96" s="22">
        <v>1621.06</v>
      </c>
      <c r="J96" s="23">
        <v>11419060</v>
      </c>
      <c r="K96" s="23">
        <v>390068</v>
      </c>
      <c r="L96" s="20">
        <v>28.6</v>
      </c>
      <c r="M96" s="24">
        <f t="shared" si="2"/>
        <v>3</v>
      </c>
      <c r="N96" s="25">
        <f t="shared" si="3"/>
        <v>0.00185407216048849</v>
      </c>
    </row>
    <row r="97" spans="1:14">
      <c r="A97" s="14">
        <v>95</v>
      </c>
      <c r="B97" s="14" t="s">
        <v>52</v>
      </c>
      <c r="C97" s="14" t="s">
        <v>53</v>
      </c>
      <c r="D97" s="14" t="s">
        <v>54</v>
      </c>
      <c r="E97" s="15">
        <v>45846</v>
      </c>
      <c r="F97" s="16">
        <v>3423.96</v>
      </c>
      <c r="G97" s="16">
        <v>3461.33</v>
      </c>
      <c r="H97" s="16">
        <v>3363.16</v>
      </c>
      <c r="I97" s="16">
        <v>3409.37</v>
      </c>
      <c r="J97" s="17">
        <v>13195109</v>
      </c>
      <c r="K97" s="17">
        <v>302947</v>
      </c>
      <c r="L97" s="14">
        <v>29.6</v>
      </c>
      <c r="M97" s="18">
        <f t="shared" si="2"/>
        <v>-14.5900000000001</v>
      </c>
      <c r="N97" s="19">
        <f t="shared" si="3"/>
        <v>-0.00426114791060647</v>
      </c>
    </row>
    <row r="98" spans="1:14">
      <c r="A98" s="20">
        <v>96</v>
      </c>
      <c r="B98" s="20" t="s">
        <v>55</v>
      </c>
      <c r="C98" s="20" t="s">
        <v>56</v>
      </c>
      <c r="D98" s="20" t="s">
        <v>23</v>
      </c>
      <c r="E98" s="21">
        <v>45848</v>
      </c>
      <c r="F98" s="22">
        <v>1755.42</v>
      </c>
      <c r="G98" s="22">
        <v>1782.83</v>
      </c>
      <c r="H98" s="22">
        <v>1717.62</v>
      </c>
      <c r="I98" s="22">
        <v>1730.42</v>
      </c>
      <c r="J98" s="23">
        <v>12288759</v>
      </c>
      <c r="K98" s="23">
        <v>344106</v>
      </c>
      <c r="L98" s="20">
        <v>27</v>
      </c>
      <c r="M98" s="18">
        <f t="shared" si="2"/>
        <v>-25</v>
      </c>
      <c r="N98" s="19">
        <f t="shared" si="3"/>
        <v>-0.0142416059974251</v>
      </c>
    </row>
    <row r="99" spans="1:14">
      <c r="A99" s="14">
        <v>97</v>
      </c>
      <c r="B99" s="14" t="s">
        <v>57</v>
      </c>
      <c r="C99" s="14" t="s">
        <v>58</v>
      </c>
      <c r="D99" s="14" t="s">
        <v>35</v>
      </c>
      <c r="E99" s="15">
        <v>45850</v>
      </c>
      <c r="F99" s="16">
        <v>1212.97</v>
      </c>
      <c r="G99" s="16">
        <v>1241.42</v>
      </c>
      <c r="H99" s="16">
        <v>1187.61</v>
      </c>
      <c r="I99" s="16">
        <v>1219.44</v>
      </c>
      <c r="J99" s="17">
        <v>1834818</v>
      </c>
      <c r="K99" s="17">
        <v>263399</v>
      </c>
      <c r="L99" s="14">
        <v>19.4</v>
      </c>
      <c r="M99" s="24">
        <f t="shared" si="2"/>
        <v>6.47000000000003</v>
      </c>
      <c r="N99" s="25">
        <f t="shared" si="3"/>
        <v>0.00533401485609704</v>
      </c>
    </row>
    <row r="100" spans="1:14">
      <c r="A100" s="20">
        <v>98</v>
      </c>
      <c r="B100" s="20" t="s">
        <v>59</v>
      </c>
      <c r="C100" s="20" t="s">
        <v>60</v>
      </c>
      <c r="D100" s="20" t="s">
        <v>61</v>
      </c>
      <c r="E100" s="21">
        <v>45852</v>
      </c>
      <c r="F100" s="22">
        <v>321.93</v>
      </c>
      <c r="G100" s="22">
        <v>322.18</v>
      </c>
      <c r="H100" s="22">
        <v>316.04</v>
      </c>
      <c r="I100" s="22">
        <v>318.98</v>
      </c>
      <c r="J100" s="23">
        <v>14268326</v>
      </c>
      <c r="K100" s="23">
        <v>296053</v>
      </c>
      <c r="L100" s="20">
        <v>35.5</v>
      </c>
      <c r="M100" s="18">
        <f t="shared" si="2"/>
        <v>-2.94999999999999</v>
      </c>
      <c r="N100" s="19">
        <f t="shared" si="3"/>
        <v>-0.00916348274469602</v>
      </c>
    </row>
    <row r="101" spans="1:14">
      <c r="A101" s="14">
        <v>99</v>
      </c>
      <c r="B101" s="14" t="s">
        <v>62</v>
      </c>
      <c r="C101" s="14" t="s">
        <v>63</v>
      </c>
      <c r="D101" s="14" t="s">
        <v>61</v>
      </c>
      <c r="E101" s="15">
        <v>45854</v>
      </c>
      <c r="F101" s="16">
        <v>355.84</v>
      </c>
      <c r="G101" s="16">
        <v>357.65</v>
      </c>
      <c r="H101" s="16">
        <v>348.65</v>
      </c>
      <c r="I101" s="16">
        <v>356.02</v>
      </c>
      <c r="J101" s="17">
        <v>5652492</v>
      </c>
      <c r="K101" s="17">
        <v>345142</v>
      </c>
      <c r="L101" s="14">
        <v>24.3</v>
      </c>
      <c r="M101" s="24">
        <f t="shared" si="2"/>
        <v>0.180000000000007</v>
      </c>
      <c r="N101" s="25">
        <f t="shared" si="3"/>
        <v>0.000505845323741026</v>
      </c>
    </row>
    <row r="102" spans="1:14">
      <c r="A102" s="20">
        <v>100</v>
      </c>
      <c r="B102" s="20" t="s">
        <v>64</v>
      </c>
      <c r="C102" s="20" t="s">
        <v>65</v>
      </c>
      <c r="D102" s="20" t="s">
        <v>66</v>
      </c>
      <c r="E102" s="21">
        <v>45856</v>
      </c>
      <c r="F102" s="22">
        <v>1662.14</v>
      </c>
      <c r="G102" s="22">
        <v>1703.14</v>
      </c>
      <c r="H102" s="22">
        <v>1623.06</v>
      </c>
      <c r="I102" s="22">
        <v>1674.55</v>
      </c>
      <c r="J102" s="23">
        <v>746592</v>
      </c>
      <c r="K102" s="23">
        <v>936733</v>
      </c>
      <c r="L102" s="20">
        <v>34.5</v>
      </c>
      <c r="M102" s="24">
        <f t="shared" si="2"/>
        <v>12.4099999999999</v>
      </c>
      <c r="N102" s="25">
        <f t="shared" si="3"/>
        <v>0.00746627841216736</v>
      </c>
    </row>
  </sheetData>
  <mergeCells count="1">
    <mergeCell ref="A1:N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workbookViewId="0">
      <selection activeCell="A1" sqref="A1:C1"/>
    </sheetView>
  </sheetViews>
  <sheetFormatPr defaultColWidth="9" defaultRowHeight="14.4" outlineLevelCol="2"/>
  <cols>
    <col min="1" max="1" width="26" customWidth="1"/>
    <col min="2" max="2" width="14" customWidth="1"/>
    <col min="3" max="3" width="20" customWidth="1"/>
  </cols>
  <sheetData>
    <row r="1" ht="28" customHeight="1" spans="1:3">
      <c r="A1" s="8" t="s">
        <v>67</v>
      </c>
    </row>
    <row r="2" spans="1:3">
      <c r="A2" s="9" t="s">
        <v>68</v>
      </c>
      <c r="B2" s="9" t="s">
        <v>69</v>
      </c>
      <c r="C2" s="9" t="s">
        <v>70</v>
      </c>
    </row>
    <row r="3" spans="1:3">
      <c r="A3" s="10" t="s">
        <v>71</v>
      </c>
      <c r="B3" s="10" t="s">
        <v>72</v>
      </c>
      <c r="C3" s="10">
        <f>COUNTA('Stock Market Data'!A3:A102)</f>
        <v>100</v>
      </c>
    </row>
    <row r="4" spans="1:3">
      <c r="A4" s="11" t="s">
        <v>73</v>
      </c>
      <c r="B4" s="11" t="s">
        <v>74</v>
      </c>
      <c r="C4" s="11">
        <f>AVERAGE('Stock Market Data'!I3:I102)</f>
        <v>2465.6363</v>
      </c>
    </row>
    <row r="5" spans="1:3">
      <c r="A5" s="10" t="s">
        <v>75</v>
      </c>
      <c r="B5" s="10" t="s">
        <v>76</v>
      </c>
      <c r="C5" s="10">
        <f>MAX('Stock Market Data'!I3:I102)</f>
        <v>11154.47</v>
      </c>
    </row>
    <row r="6" spans="1:3">
      <c r="A6" s="11" t="s">
        <v>77</v>
      </c>
      <c r="B6" s="11" t="s">
        <v>78</v>
      </c>
      <c r="C6" s="11">
        <f>MIN('Stock Market Data'!I3:I102)</f>
        <v>313.34</v>
      </c>
    </row>
    <row r="7" spans="1:3">
      <c r="A7" s="10" t="s">
        <v>79</v>
      </c>
      <c r="B7" s="10" t="s">
        <v>74</v>
      </c>
      <c r="C7" s="10">
        <f>AVERAGE('Stock Market Data'!J3:J102)</f>
        <v>8035657.39</v>
      </c>
    </row>
    <row r="8" spans="1:3">
      <c r="A8" s="11" t="s">
        <v>80</v>
      </c>
      <c r="B8" s="11" t="s">
        <v>81</v>
      </c>
      <c r="C8" s="11">
        <f>SUM('Stock Market Data'!J3:J102)</f>
        <v>803565739</v>
      </c>
    </row>
    <row r="9" spans="1:3">
      <c r="A9" s="10" t="s">
        <v>82</v>
      </c>
      <c r="B9" s="10" t="s">
        <v>74</v>
      </c>
      <c r="C9" s="10">
        <f>AVERAGE('Stock Market Data'!L3:L102)</f>
        <v>38.213</v>
      </c>
    </row>
    <row r="10" spans="1:3">
      <c r="A10" s="11" t="s">
        <v>83</v>
      </c>
      <c r="B10" s="11" t="s">
        <v>84</v>
      </c>
      <c r="C10" s="11">
        <f>COUNTIF('Stock Market Data'!N3:N102,"&gt;0")</f>
        <v>46</v>
      </c>
    </row>
    <row r="11" spans="1:3">
      <c r="A11" s="10" t="s">
        <v>85</v>
      </c>
      <c r="B11" s="10" t="s">
        <v>84</v>
      </c>
      <c r="C11" s="10">
        <f>COUNTIF('Stock Market Data'!N3:N102,"&lt;0")</f>
        <v>53</v>
      </c>
    </row>
    <row r="12" spans="1:3">
      <c r="A12" s="11" t="s">
        <v>86</v>
      </c>
      <c r="B12" s="11" t="s">
        <v>74</v>
      </c>
      <c r="C12" s="11">
        <f>AVERAGE('Stock Market Data'!N3:N102)</f>
        <v>-0.0013008430835441</v>
      </c>
    </row>
  </sheetData>
  <mergeCells count="1">
    <mergeCell ref="A1:C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1"/>
  <sheetViews>
    <sheetView tabSelected="1" zoomScale="65" zoomScaleNormal="65" topLeftCell="A69" workbookViewId="0">
      <selection activeCell="A1" sqref="A1:P1"/>
    </sheetView>
  </sheetViews>
  <sheetFormatPr defaultColWidth="9" defaultRowHeight="14.4"/>
  <cols>
    <col min="1" max="1" width="16" customWidth="1"/>
    <col min="2" max="3" width="14" customWidth="1"/>
    <col min="4" max="4" width="12" customWidth="1"/>
    <col min="5" max="6" width="14" customWidth="1"/>
    <col min="7" max="7" width="16" customWidth="1"/>
    <col min="8" max="8" width="12" customWidth="1"/>
    <col min="9" max="9" width="8" customWidth="1"/>
    <col min="10" max="10" width="16" customWidth="1"/>
    <col min="11" max="13" width="12" customWidth="1"/>
    <col min="14" max="16" width="10" customWidth="1"/>
  </cols>
  <sheetData>
    <row r="1" ht="34" customHeight="1" spans="1:13">
      <c r="A1" s="1" t="s">
        <v>87</v>
      </c>
    </row>
    <row r="3" ht="26" customHeight="1" spans="1:13">
      <c r="A3" s="2" t="s">
        <v>88</v>
      </c>
      <c r="D3" s="3" t="s">
        <v>89</v>
      </c>
      <c r="G3" s="3" t="s">
        <v>90</v>
      </c>
      <c r="J3" s="3" t="s">
        <v>91</v>
      </c>
    </row>
    <row r="4" spans="1:13">
      <c r="A4" s="4" t="s">
        <v>92</v>
      </c>
      <c r="B4" s="4" t="s">
        <v>92</v>
      </c>
      <c r="D4" s="4" t="s">
        <v>3</v>
      </c>
      <c r="E4" s="4" t="s">
        <v>80</v>
      </c>
      <c r="G4" s="4" t="s">
        <v>4</v>
      </c>
      <c r="H4" s="4" t="s">
        <v>93</v>
      </c>
      <c r="J4" s="4" t="s">
        <v>3</v>
      </c>
      <c r="K4" s="4" t="s">
        <v>94</v>
      </c>
      <c r="L4" s="4" t="s">
        <v>95</v>
      </c>
      <c r="M4" s="4" t="s">
        <v>96</v>
      </c>
    </row>
    <row r="5" spans="1:13">
      <c r="A5" s="5" t="s">
        <v>48</v>
      </c>
      <c r="B5" s="5">
        <v>10992.37</v>
      </c>
      <c r="D5" s="5" t="s">
        <v>58</v>
      </c>
      <c r="E5" s="5">
        <v>34932347</v>
      </c>
      <c r="G5" s="5" t="s">
        <v>48</v>
      </c>
      <c r="H5" s="5">
        <v>36.3</v>
      </c>
      <c r="J5" s="5" t="s">
        <v>58</v>
      </c>
      <c r="K5" s="5">
        <v>1260.98</v>
      </c>
      <c r="L5" s="5">
        <v>1228.93</v>
      </c>
      <c r="M5" s="5">
        <v>1246.55</v>
      </c>
    </row>
    <row r="6" spans="1:13">
      <c r="A6" s="6" t="s">
        <v>23</v>
      </c>
      <c r="B6" s="6">
        <v>1300.72</v>
      </c>
      <c r="D6" s="6" t="s">
        <v>44</v>
      </c>
      <c r="E6" s="6">
        <v>37174907</v>
      </c>
      <c r="G6" s="6" t="s">
        <v>23</v>
      </c>
      <c r="H6" s="6">
        <v>37.9</v>
      </c>
      <c r="J6" s="6" t="s">
        <v>44</v>
      </c>
      <c r="K6" s="6">
        <v>2855.3</v>
      </c>
      <c r="L6" s="6">
        <v>2759.82</v>
      </c>
      <c r="M6" s="6">
        <v>2806.74</v>
      </c>
    </row>
    <row r="7" spans="1:13">
      <c r="A7" s="5" t="s">
        <v>54</v>
      </c>
      <c r="B7" s="5">
        <v>3457.29</v>
      </c>
      <c r="D7" s="5" t="s">
        <v>39</v>
      </c>
      <c r="E7" s="5">
        <v>32033644</v>
      </c>
      <c r="G7" s="5" t="s">
        <v>54</v>
      </c>
      <c r="H7" s="5">
        <v>41.9</v>
      </c>
      <c r="J7" s="5" t="s">
        <v>39</v>
      </c>
      <c r="K7" s="5">
        <v>6907.12</v>
      </c>
      <c r="L7" s="5">
        <v>6717.53</v>
      </c>
      <c r="M7" s="5">
        <v>6804.66</v>
      </c>
    </row>
    <row r="8" spans="1:13">
      <c r="A8" s="6" t="s">
        <v>17</v>
      </c>
      <c r="B8" s="6">
        <v>2781.82</v>
      </c>
      <c r="D8" s="6" t="s">
        <v>65</v>
      </c>
      <c r="E8" s="6">
        <v>20207931</v>
      </c>
      <c r="G8" s="6" t="s">
        <v>17</v>
      </c>
      <c r="H8" s="6">
        <v>37.7</v>
      </c>
      <c r="J8" s="6" t="s">
        <v>65</v>
      </c>
      <c r="K8" s="6">
        <v>1662.7</v>
      </c>
      <c r="L8" s="6">
        <v>1610.47</v>
      </c>
      <c r="M8" s="6">
        <v>1645.27</v>
      </c>
    </row>
    <row r="9" spans="1:13">
      <c r="A9" s="5" t="s">
        <v>30</v>
      </c>
      <c r="B9" s="5">
        <v>1424.5</v>
      </c>
      <c r="D9" s="5" t="s">
        <v>22</v>
      </c>
      <c r="E9" s="5">
        <v>38430866</v>
      </c>
      <c r="G9" s="5" t="s">
        <v>30</v>
      </c>
      <c r="H9" s="5">
        <v>42.5</v>
      </c>
      <c r="J9" s="5" t="s">
        <v>22</v>
      </c>
      <c r="K9" s="5">
        <v>1659.2</v>
      </c>
      <c r="L9" s="5">
        <v>1631.29</v>
      </c>
      <c r="M9" s="5">
        <v>1638.02</v>
      </c>
    </row>
    <row r="10" spans="1:13">
      <c r="A10" s="6" t="s">
        <v>40</v>
      </c>
      <c r="B10" s="6">
        <v>6804.66</v>
      </c>
      <c r="D10" s="6" t="s">
        <v>29</v>
      </c>
      <c r="E10" s="6">
        <v>46369614</v>
      </c>
      <c r="G10" s="6" t="s">
        <v>40</v>
      </c>
      <c r="H10" s="6">
        <v>29.6</v>
      </c>
      <c r="J10" s="6" t="s">
        <v>29</v>
      </c>
      <c r="K10" s="6">
        <v>2426.07</v>
      </c>
      <c r="L10" s="6">
        <v>2370.1</v>
      </c>
      <c r="M10" s="6">
        <v>2404.94</v>
      </c>
    </row>
    <row r="11" spans="1:13">
      <c r="A11" s="5" t="s">
        <v>20</v>
      </c>
      <c r="B11" s="5">
        <v>1953.04</v>
      </c>
      <c r="D11" s="5" t="s">
        <v>27</v>
      </c>
      <c r="E11" s="5">
        <v>27874713</v>
      </c>
      <c r="G11" s="5" t="s">
        <v>20</v>
      </c>
      <c r="H11" s="5">
        <v>38.3</v>
      </c>
      <c r="J11" s="5" t="s">
        <v>27</v>
      </c>
      <c r="K11" s="5">
        <v>1072.81</v>
      </c>
      <c r="L11" s="5">
        <v>1049.11</v>
      </c>
      <c r="M11" s="5">
        <v>1064.04</v>
      </c>
    </row>
    <row r="12" spans="1:13">
      <c r="A12" s="6" t="s">
        <v>35</v>
      </c>
      <c r="B12" s="6">
        <v>2314.03</v>
      </c>
      <c r="D12" s="6" t="s">
        <v>25</v>
      </c>
      <c r="E12" s="6">
        <v>46990478</v>
      </c>
      <c r="G12" s="6" t="s">
        <v>35</v>
      </c>
      <c r="H12" s="6">
        <v>39.5</v>
      </c>
      <c r="J12" s="6" t="s">
        <v>25</v>
      </c>
      <c r="K12" s="6">
        <v>1470.85</v>
      </c>
      <c r="L12" s="6">
        <v>1427.86</v>
      </c>
      <c r="M12" s="6">
        <v>1453.11</v>
      </c>
    </row>
    <row r="13" spans="1:13">
      <c r="A13" s="5" t="s">
        <v>45</v>
      </c>
      <c r="B13" s="5">
        <v>2806.74</v>
      </c>
      <c r="D13" s="5" t="s">
        <v>32</v>
      </c>
      <c r="E13" s="5">
        <v>51496154</v>
      </c>
      <c r="G13" s="5" t="s">
        <v>45</v>
      </c>
      <c r="H13" s="5">
        <v>34.8</v>
      </c>
      <c r="J13" s="5" t="s">
        <v>32</v>
      </c>
      <c r="K13" s="5">
        <v>451.09</v>
      </c>
      <c r="L13" s="5">
        <v>439.85</v>
      </c>
      <c r="M13" s="5">
        <v>444.06</v>
      </c>
    </row>
    <row r="14" spans="1:13">
      <c r="A14" s="6" t="s">
        <v>51</v>
      </c>
      <c r="B14" s="6">
        <v>1601.54</v>
      </c>
      <c r="D14" s="6" t="s">
        <v>56</v>
      </c>
      <c r="E14" s="6">
        <v>25444004</v>
      </c>
      <c r="G14" s="6" t="s">
        <v>51</v>
      </c>
      <c r="H14" s="6">
        <v>45.1</v>
      </c>
      <c r="J14" s="6" t="s">
        <v>56</v>
      </c>
      <c r="K14" s="6">
        <v>1766.88</v>
      </c>
      <c r="L14" s="6">
        <v>1724.46</v>
      </c>
      <c r="M14" s="6">
        <v>1738.05</v>
      </c>
    </row>
    <row r="15" spans="1:13">
      <c r="A15" s="5" t="s">
        <v>66</v>
      </c>
      <c r="B15" s="5">
        <v>1645.27</v>
      </c>
      <c r="D15" s="5" t="s">
        <v>34</v>
      </c>
      <c r="E15" s="5">
        <v>46110921</v>
      </c>
      <c r="G15" s="5" t="s">
        <v>66</v>
      </c>
      <c r="H15" s="5">
        <v>34.2</v>
      </c>
      <c r="J15" s="5" t="s">
        <v>34</v>
      </c>
      <c r="K15" s="5">
        <v>3426.57</v>
      </c>
      <c r="L15" s="5">
        <v>3343.12</v>
      </c>
      <c r="M15" s="5">
        <v>3381.51</v>
      </c>
    </row>
    <row r="16" spans="1:13">
      <c r="A16" s="6" t="s">
        <v>61</v>
      </c>
      <c r="B16" s="6">
        <v>341.99</v>
      </c>
      <c r="D16" s="6" t="s">
        <v>47</v>
      </c>
      <c r="E16" s="6">
        <v>41497911</v>
      </c>
      <c r="G16" s="6" t="s">
        <v>61</v>
      </c>
      <c r="H16" s="6">
        <v>37.1</v>
      </c>
      <c r="J16" s="6" t="s">
        <v>47</v>
      </c>
      <c r="K16" s="6">
        <v>11115.48</v>
      </c>
      <c r="L16" s="6">
        <v>10917.61</v>
      </c>
      <c r="M16" s="6">
        <v>10992.37</v>
      </c>
    </row>
    <row r="17" spans="1:13">
      <c r="D17" s="5" t="s">
        <v>63</v>
      </c>
      <c r="E17" s="5">
        <v>30581862</v>
      </c>
      <c r="J17" s="5" t="s">
        <v>63</v>
      </c>
      <c r="K17" s="5">
        <v>366.79</v>
      </c>
      <c r="L17" s="5">
        <v>357.35</v>
      </c>
      <c r="M17" s="5">
        <v>361.92</v>
      </c>
    </row>
    <row r="18" spans="1:13">
      <c r="D18" s="6" t="s">
        <v>60</v>
      </c>
      <c r="E18" s="6">
        <v>58010429</v>
      </c>
      <c r="J18" s="6" t="s">
        <v>60</v>
      </c>
      <c r="K18" s="6">
        <v>325.22</v>
      </c>
      <c r="L18" s="6">
        <v>318.49</v>
      </c>
      <c r="M18" s="6">
        <v>322.05</v>
      </c>
    </row>
    <row r="19" ht="24" customHeight="1" spans="1:13">
      <c r="A19" s="3" t="s">
        <v>97</v>
      </c>
      <c r="D19" s="5" t="s">
        <v>16</v>
      </c>
      <c r="E19" s="5">
        <v>40794474</v>
      </c>
      <c r="J19" s="5" t="s">
        <v>16</v>
      </c>
      <c r="K19" s="5">
        <v>2824.41</v>
      </c>
      <c r="L19" s="5">
        <v>2761.22</v>
      </c>
      <c r="M19" s="5">
        <v>2781.82</v>
      </c>
    </row>
    <row r="20" spans="1:13">
      <c r="A20" s="4" t="s">
        <v>3</v>
      </c>
      <c r="B20" s="4" t="s">
        <v>83</v>
      </c>
      <c r="C20" s="4" t="s">
        <v>85</v>
      </c>
      <c r="D20" s="6" t="s">
        <v>37</v>
      </c>
      <c r="E20" s="6">
        <v>57296979</v>
      </c>
      <c r="J20" s="6" t="s">
        <v>37</v>
      </c>
      <c r="K20" s="6">
        <v>771.13</v>
      </c>
      <c r="L20" s="6">
        <v>755.75</v>
      </c>
      <c r="M20" s="6">
        <v>762.76</v>
      </c>
    </row>
    <row r="21" spans="1:13">
      <c r="A21" s="5" t="s">
        <v>58</v>
      </c>
      <c r="B21" s="5">
        <v>2</v>
      </c>
      <c r="C21" s="5">
        <v>3</v>
      </c>
      <c r="D21" s="5" t="s">
        <v>50</v>
      </c>
      <c r="E21" s="5">
        <v>41954653</v>
      </c>
      <c r="J21" s="5" t="s">
        <v>50</v>
      </c>
      <c r="K21" s="5">
        <v>1626.15</v>
      </c>
      <c r="L21" s="5">
        <v>1583.48</v>
      </c>
      <c r="M21" s="5">
        <v>1601.54</v>
      </c>
    </row>
    <row r="22" spans="1:13">
      <c r="A22" s="6" t="s">
        <v>44</v>
      </c>
      <c r="B22" s="6">
        <v>3</v>
      </c>
      <c r="C22" s="6">
        <v>2</v>
      </c>
      <c r="D22" s="6" t="s">
        <v>19</v>
      </c>
      <c r="E22" s="6">
        <v>48761349</v>
      </c>
      <c r="J22" s="6" t="s">
        <v>19</v>
      </c>
      <c r="K22" s="6">
        <v>3970.52</v>
      </c>
      <c r="L22" s="6">
        <v>3875.33</v>
      </c>
      <c r="M22" s="6">
        <v>3926.14</v>
      </c>
    </row>
    <row r="23" spans="1:13">
      <c r="A23" s="5" t="s">
        <v>39</v>
      </c>
      <c r="B23" s="5">
        <v>2</v>
      </c>
      <c r="C23" s="5">
        <v>3</v>
      </c>
      <c r="D23" s="5" t="s">
        <v>53</v>
      </c>
      <c r="E23" s="5">
        <v>46927880</v>
      </c>
      <c r="J23" s="5" t="s">
        <v>53</v>
      </c>
      <c r="K23" s="5">
        <v>3525.79</v>
      </c>
      <c r="L23" s="5">
        <v>3421.2</v>
      </c>
      <c r="M23" s="5">
        <v>3457.29</v>
      </c>
    </row>
    <row r="24" spans="1:13">
      <c r="A24" s="6" t="s">
        <v>65</v>
      </c>
      <c r="B24" s="6">
        <v>4</v>
      </c>
      <c r="C24" s="6">
        <v>1</v>
      </c>
      <c r="D24" s="6" t="s">
        <v>42</v>
      </c>
      <c r="E24" s="6">
        <v>30674623</v>
      </c>
      <c r="J24" s="6" t="s">
        <v>42</v>
      </c>
      <c r="K24" s="6">
        <v>486.93</v>
      </c>
      <c r="L24" s="6">
        <v>474.04</v>
      </c>
      <c r="M24" s="6">
        <v>479.88</v>
      </c>
    </row>
    <row r="25" spans="1:13">
      <c r="A25" s="5" t="s">
        <v>22</v>
      </c>
      <c r="B25" s="5">
        <v>1</v>
      </c>
      <c r="C25" s="5">
        <v>4</v>
      </c>
    </row>
    <row r="26" spans="1:13">
      <c r="A26" s="6" t="s">
        <v>29</v>
      </c>
      <c r="B26" s="6">
        <v>2</v>
      </c>
      <c r="C26" s="6">
        <v>3</v>
      </c>
    </row>
    <row r="27" spans="1:13">
      <c r="A27" s="5" t="s">
        <v>27</v>
      </c>
      <c r="B27" s="5">
        <v>4</v>
      </c>
      <c r="C27" s="5">
        <v>1</v>
      </c>
    </row>
    <row r="28" spans="1:13">
      <c r="A28" s="6" t="s">
        <v>25</v>
      </c>
      <c r="B28" s="6">
        <v>3</v>
      </c>
      <c r="C28" s="6">
        <v>2</v>
      </c>
    </row>
    <row r="29" spans="1:13">
      <c r="A29" s="5" t="s">
        <v>32</v>
      </c>
      <c r="B29" s="5">
        <v>4</v>
      </c>
      <c r="C29" s="5">
        <v>1</v>
      </c>
    </row>
    <row r="30" spans="1:13">
      <c r="A30" s="6" t="s">
        <v>56</v>
      </c>
      <c r="B30" s="6">
        <v>2</v>
      </c>
      <c r="C30" s="6">
        <v>3</v>
      </c>
    </row>
    <row r="31" spans="1:13">
      <c r="A31" s="5" t="s">
        <v>34</v>
      </c>
      <c r="B31" s="5">
        <v>2</v>
      </c>
      <c r="C31" s="5">
        <v>3</v>
      </c>
    </row>
    <row r="32" spans="1:13">
      <c r="A32" s="6" t="s">
        <v>47</v>
      </c>
      <c r="B32" s="6">
        <v>1</v>
      </c>
      <c r="C32" s="6">
        <v>4</v>
      </c>
    </row>
    <row r="33" spans="1:3">
      <c r="A33" s="5" t="s">
        <v>63</v>
      </c>
      <c r="B33" s="5">
        <v>2</v>
      </c>
      <c r="C33" s="5">
        <v>3</v>
      </c>
    </row>
    <row r="34" spans="1:3">
      <c r="A34" s="6" t="s">
        <v>60</v>
      </c>
      <c r="B34" s="6">
        <v>1</v>
      </c>
      <c r="C34" s="6">
        <v>4</v>
      </c>
    </row>
    <row r="35" spans="1:3">
      <c r="A35" s="5" t="s">
        <v>16</v>
      </c>
      <c r="B35" s="5">
        <v>2</v>
      </c>
      <c r="C35" s="5">
        <v>3</v>
      </c>
    </row>
    <row r="36" spans="1:3">
      <c r="A36" s="6" t="s">
        <v>37</v>
      </c>
      <c r="B36" s="6">
        <v>2</v>
      </c>
      <c r="C36" s="6">
        <v>3</v>
      </c>
    </row>
    <row r="37" spans="1:3">
      <c r="A37" s="5" t="s">
        <v>50</v>
      </c>
      <c r="B37" s="5">
        <v>3</v>
      </c>
      <c r="C37" s="5">
        <v>2</v>
      </c>
    </row>
    <row r="38" spans="1:3">
      <c r="A38" s="6" t="s">
        <v>19</v>
      </c>
      <c r="B38" s="6">
        <v>3</v>
      </c>
      <c r="C38" s="6">
        <v>2</v>
      </c>
    </row>
    <row r="39" spans="1:3">
      <c r="A39" s="5" t="s">
        <v>53</v>
      </c>
      <c r="B39" s="5">
        <v>2</v>
      </c>
      <c r="C39" s="5">
        <v>3</v>
      </c>
    </row>
    <row r="40" spans="1:3">
      <c r="A40" s="6" t="s">
        <v>42</v>
      </c>
      <c r="B40" s="6">
        <v>2</v>
      </c>
      <c r="C40" s="6">
        <v>3</v>
      </c>
    </row>
    <row r="43" spans="1:3">
      <c r="A43" s="7" t="s">
        <v>4</v>
      </c>
      <c r="B43" s="7" t="s">
        <v>98</v>
      </c>
    </row>
    <row r="44" spans="1:3">
      <c r="A44" t="s">
        <v>48</v>
      </c>
      <c r="B44">
        <v>5</v>
      </c>
    </row>
    <row r="45" spans="1:3">
      <c r="A45" t="s">
        <v>23</v>
      </c>
      <c r="B45">
        <v>20</v>
      </c>
    </row>
    <row r="46" spans="1:3">
      <c r="A46" t="s">
        <v>54</v>
      </c>
      <c r="B46">
        <v>5</v>
      </c>
    </row>
    <row r="47" spans="1:3">
      <c r="A47" t="s">
        <v>17</v>
      </c>
      <c r="B47">
        <v>5</v>
      </c>
    </row>
    <row r="48" spans="1:3">
      <c r="A48" t="s">
        <v>30</v>
      </c>
      <c r="B48">
        <v>10</v>
      </c>
    </row>
    <row r="49" spans="1:2">
      <c r="A49" t="s">
        <v>40</v>
      </c>
      <c r="B49">
        <v>5</v>
      </c>
    </row>
    <row r="50" spans="1:2">
      <c r="A50" t="s">
        <v>20</v>
      </c>
      <c r="B50">
        <v>15</v>
      </c>
    </row>
    <row r="51" spans="1:2">
      <c r="A51" t="s">
        <v>35</v>
      </c>
      <c r="B51">
        <v>10</v>
      </c>
    </row>
    <row r="52" spans="1:2">
      <c r="A52" t="s">
        <v>45</v>
      </c>
      <c r="B52">
        <v>5</v>
      </c>
    </row>
    <row r="53" spans="1:2">
      <c r="A53" t="s">
        <v>51</v>
      </c>
      <c r="B53">
        <v>5</v>
      </c>
    </row>
    <row r="54" spans="1:2">
      <c r="A54" t="s">
        <v>66</v>
      </c>
      <c r="B54">
        <v>5</v>
      </c>
    </row>
    <row r="55" spans="1:2">
      <c r="A55" t="s">
        <v>61</v>
      </c>
      <c r="B55">
        <v>10</v>
      </c>
    </row>
    <row r="58" spans="1:2">
      <c r="A58" s="7" t="s">
        <v>99</v>
      </c>
      <c r="B58" s="7" t="s">
        <v>9</v>
      </c>
    </row>
    <row r="59" spans="1:2">
      <c r="A59">
        <v>1</v>
      </c>
      <c r="B59">
        <v>2708.18</v>
      </c>
    </row>
    <row r="60" spans="1:2">
      <c r="A60">
        <v>2</v>
      </c>
      <c r="B60">
        <v>3964.31</v>
      </c>
    </row>
    <row r="61" spans="1:2">
      <c r="A61">
        <v>3</v>
      </c>
      <c r="B61">
        <v>1661.6</v>
      </c>
    </row>
    <row r="62" spans="1:2">
      <c r="A62">
        <v>4</v>
      </c>
      <c r="B62">
        <v>1458.37</v>
      </c>
    </row>
    <row r="63" spans="1:2">
      <c r="A63">
        <v>5</v>
      </c>
      <c r="B63">
        <v>1077.19</v>
      </c>
    </row>
    <row r="64" spans="1:2">
      <c r="A64">
        <v>6</v>
      </c>
      <c r="B64">
        <v>2360.61</v>
      </c>
    </row>
    <row r="65" spans="1:2">
      <c r="A65">
        <v>7</v>
      </c>
      <c r="B65">
        <v>436.32</v>
      </c>
    </row>
    <row r="66" spans="1:2">
      <c r="A66">
        <v>8</v>
      </c>
      <c r="B66">
        <v>3385.78</v>
      </c>
    </row>
    <row r="67" spans="1:2">
      <c r="A67">
        <v>9</v>
      </c>
      <c r="B67">
        <v>762.57</v>
      </c>
    </row>
    <row r="68" spans="1:2">
      <c r="A68">
        <v>10</v>
      </c>
      <c r="B68">
        <v>6864.59</v>
      </c>
    </row>
    <row r="69" spans="1:2">
      <c r="A69">
        <v>11</v>
      </c>
      <c r="B69">
        <v>490.85</v>
      </c>
    </row>
    <row r="70" spans="1:2">
      <c r="A70">
        <v>12</v>
      </c>
      <c r="B70">
        <v>2694.6</v>
      </c>
    </row>
    <row r="71" spans="1:2">
      <c r="A71">
        <v>13</v>
      </c>
      <c r="B71">
        <v>11154.47</v>
      </c>
    </row>
    <row r="72" spans="1:2">
      <c r="A72">
        <v>14</v>
      </c>
      <c r="B72">
        <v>1544.87</v>
      </c>
    </row>
    <row r="73" spans="1:2">
      <c r="A73">
        <v>15</v>
      </c>
      <c r="B73">
        <v>3400.13</v>
      </c>
    </row>
    <row r="74" spans="1:2">
      <c r="A74">
        <v>16</v>
      </c>
      <c r="B74">
        <v>1763.59</v>
      </c>
    </row>
    <row r="75" spans="1:2">
      <c r="A75">
        <v>17</v>
      </c>
      <c r="B75">
        <v>1280.28</v>
      </c>
    </row>
    <row r="76" spans="1:2">
      <c r="A76">
        <v>18</v>
      </c>
      <c r="B76">
        <v>313.34</v>
      </c>
    </row>
    <row r="77" spans="1:2">
      <c r="A77">
        <v>19</v>
      </c>
      <c r="B77">
        <v>357.92</v>
      </c>
    </row>
    <row r="78" spans="1:2">
      <c r="A78">
        <v>20</v>
      </c>
      <c r="B78">
        <v>1632.89</v>
      </c>
    </row>
    <row r="79" spans="1:2">
      <c r="A79">
        <v>21</v>
      </c>
      <c r="B79">
        <v>2850.11</v>
      </c>
    </row>
    <row r="80" spans="1:2">
      <c r="A80">
        <v>22</v>
      </c>
      <c r="B80">
        <v>3873.62</v>
      </c>
    </row>
    <row r="81" spans="1:2">
      <c r="A81">
        <v>23</v>
      </c>
      <c r="B81">
        <v>1649.12</v>
      </c>
    </row>
    <row r="82" spans="1:2">
      <c r="A82">
        <v>24</v>
      </c>
      <c r="B82">
        <v>1454.47</v>
      </c>
    </row>
    <row r="83" spans="1:2">
      <c r="A83">
        <v>25</v>
      </c>
      <c r="B83">
        <v>1072.83</v>
      </c>
    </row>
    <row r="84" spans="1:2">
      <c r="A84">
        <v>26</v>
      </c>
      <c r="B84">
        <v>2417.36</v>
      </c>
    </row>
    <row r="85" spans="1:2">
      <c r="A85">
        <v>27</v>
      </c>
      <c r="B85">
        <v>442.11</v>
      </c>
    </row>
    <row r="86" spans="1:2">
      <c r="A86">
        <v>28</v>
      </c>
      <c r="B86">
        <v>3389.13</v>
      </c>
    </row>
    <row r="87" spans="1:2">
      <c r="A87">
        <v>29</v>
      </c>
      <c r="B87">
        <v>766.22</v>
      </c>
    </row>
    <row r="88" spans="1:2">
      <c r="A88">
        <v>30</v>
      </c>
      <c r="B88">
        <v>6893.62</v>
      </c>
    </row>
    <row r="91" spans="1:2">
      <c r="A91" s="7" t="s">
        <v>99</v>
      </c>
      <c r="B91" s="7" t="s">
        <v>10</v>
      </c>
    </row>
    <row r="92" spans="1:2">
      <c r="A92">
        <v>1</v>
      </c>
      <c r="B92">
        <v>11436994</v>
      </c>
    </row>
    <row r="93" spans="1:2">
      <c r="A93">
        <v>2</v>
      </c>
      <c r="B93">
        <v>13098418</v>
      </c>
    </row>
    <row r="94" spans="1:2">
      <c r="A94">
        <v>3</v>
      </c>
      <c r="B94">
        <v>6141215</v>
      </c>
    </row>
    <row r="95" spans="1:2">
      <c r="A95">
        <v>4</v>
      </c>
      <c r="B95">
        <v>14222580</v>
      </c>
    </row>
    <row r="96" spans="1:2">
      <c r="A96">
        <v>5</v>
      </c>
      <c r="B96">
        <v>5232314</v>
      </c>
    </row>
    <row r="97" spans="1:2">
      <c r="A97">
        <v>6</v>
      </c>
      <c r="B97">
        <v>13071485</v>
      </c>
    </row>
    <row r="98" spans="1:2">
      <c r="A98">
        <v>7</v>
      </c>
      <c r="B98">
        <v>9366711</v>
      </c>
    </row>
    <row r="99" spans="1:2">
      <c r="A99">
        <v>8</v>
      </c>
      <c r="B99">
        <v>3058458</v>
      </c>
    </row>
    <row r="100" spans="1:2">
      <c r="A100">
        <v>9</v>
      </c>
      <c r="B100">
        <v>14220339</v>
      </c>
    </row>
    <row r="101" spans="1:2">
      <c r="A101">
        <v>10</v>
      </c>
      <c r="B101">
        <v>3576305</v>
      </c>
    </row>
    <row r="102" spans="1:2">
      <c r="A102">
        <v>11</v>
      </c>
      <c r="B102">
        <v>4010279</v>
      </c>
    </row>
    <row r="103" spans="1:2">
      <c r="A103">
        <v>12</v>
      </c>
      <c r="B103">
        <v>4270233</v>
      </c>
    </row>
    <row r="104" spans="1:2">
      <c r="A104">
        <v>13</v>
      </c>
      <c r="B104">
        <v>1252032</v>
      </c>
    </row>
    <row r="105" spans="1:2">
      <c r="A105">
        <v>14</v>
      </c>
      <c r="B105">
        <v>10397685</v>
      </c>
    </row>
    <row r="106" spans="1:2">
      <c r="A106">
        <v>15</v>
      </c>
      <c r="B106">
        <v>13144580</v>
      </c>
    </row>
    <row r="107" spans="1:2">
      <c r="A107">
        <v>16</v>
      </c>
      <c r="B107">
        <v>2438606</v>
      </c>
    </row>
    <row r="108" spans="1:2">
      <c r="A108">
        <v>17</v>
      </c>
      <c r="B108">
        <v>5266548</v>
      </c>
    </row>
    <row r="109" spans="1:2">
      <c r="A109">
        <v>18</v>
      </c>
      <c r="B109">
        <v>8252994</v>
      </c>
    </row>
    <row r="110" spans="1:2">
      <c r="A110">
        <v>19</v>
      </c>
      <c r="B110">
        <v>5730979</v>
      </c>
    </row>
    <row r="111" spans="1:2">
      <c r="A111">
        <v>20</v>
      </c>
      <c r="B111">
        <v>6534078</v>
      </c>
    </row>
    <row r="112" spans="1:2">
      <c r="A112">
        <v>21</v>
      </c>
      <c r="B112">
        <v>12262888</v>
      </c>
    </row>
    <row r="113" spans="1:2">
      <c r="A113">
        <v>22</v>
      </c>
      <c r="B113">
        <v>10392903</v>
      </c>
    </row>
    <row r="114" spans="1:2">
      <c r="A114">
        <v>23</v>
      </c>
      <c r="B114">
        <v>14105109</v>
      </c>
    </row>
    <row r="115" spans="1:2">
      <c r="A115">
        <v>24</v>
      </c>
      <c r="B115">
        <v>11666813</v>
      </c>
    </row>
    <row r="116" spans="1:2">
      <c r="A116">
        <v>25</v>
      </c>
      <c r="B116">
        <v>8901792</v>
      </c>
    </row>
    <row r="117" spans="1:2">
      <c r="A117">
        <v>26</v>
      </c>
      <c r="B117">
        <v>2906602</v>
      </c>
    </row>
    <row r="118" spans="1:2">
      <c r="A118">
        <v>27</v>
      </c>
      <c r="B118">
        <v>13226114</v>
      </c>
    </row>
    <row r="119" spans="1:2">
      <c r="A119">
        <v>28</v>
      </c>
      <c r="B119">
        <v>10702685</v>
      </c>
    </row>
    <row r="120" spans="1:2">
      <c r="A120">
        <v>29</v>
      </c>
      <c r="B120">
        <v>11875410</v>
      </c>
    </row>
    <row r="121" spans="1:2">
      <c r="A121">
        <v>30</v>
      </c>
      <c r="B121">
        <v>12762272</v>
      </c>
    </row>
  </sheetData>
  <mergeCells count="6">
    <mergeCell ref="A1:P1"/>
    <mergeCell ref="A3:B3"/>
    <mergeCell ref="D3:E3"/>
    <mergeCell ref="G3:H3"/>
    <mergeCell ref="J3:M3"/>
    <mergeCell ref="A19:C19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Stock Market Data</vt:lpstr>
      <vt:lpstr>Summary</vt:lpstr>
      <vt:lpstr>Charts &amp; 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vidur</cp:lastModifiedBy>
  <dcterms:created xsi:type="dcterms:W3CDTF">2026-04-06T05:20:00Z</dcterms:created>
  <dcterms:modified xsi:type="dcterms:W3CDTF">2026-04-06T05:31:40Z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A3846EF7D78640B892F3B5A6CA99A83A_12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